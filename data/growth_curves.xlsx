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alex\projects\harvest-timing\data\"/>
    </mc:Choice>
  </mc:AlternateContent>
  <xr:revisionPtr revIDLastSave="0" documentId="13_ncr:1_{C449CD81-BA25-4BA4-A391-82C1B4EC5DA2}" xr6:coauthVersionLast="47" xr6:coauthVersionMax="47" xr10:uidLastSave="{00000000-0000-0000-0000-000000000000}"/>
  <bookViews>
    <workbookView xWindow="57490" yWindow="-110" windowWidth="38620" windowHeight="21100" xr2:uid="{00000000-000D-0000-FFFF-FFFF00000000}"/>
  </bookViews>
  <sheets>
    <sheet name="carbon table" sheetId="1" r:id="rId1"/>
    <sheet name="price_over_time" sheetId="2" r:id="rId2"/>
  </sheets>
  <definedNames>
    <definedName name="solver_adj" localSheetId="0" hidden="1">'carbon table'!$L$2:$L$3</definedName>
    <definedName name="solver_adj" localSheetId="1" hidden="1">price_over_time!$F$2:$F$5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opt" localSheetId="0" hidden="1">'carbon table'!$L$5</definedName>
    <definedName name="solver_opt" localSheetId="1" hidden="1">price_over_time!$F$7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3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" i="1"/>
  <c r="F20" i="1"/>
  <c r="F21" i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1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E43" i="1"/>
  <c r="E44" i="1"/>
  <c r="E45" i="1"/>
  <c r="E46" i="1"/>
  <c r="E47" i="1"/>
  <c r="E48" i="1"/>
  <c r="E49" i="1"/>
  <c r="E50" i="1"/>
  <c r="E51" i="1"/>
  <c r="E52" i="1"/>
  <c r="E30" i="1"/>
  <c r="E31" i="1"/>
  <c r="E3" i="1"/>
  <c r="E4" i="1"/>
  <c r="E5" i="1"/>
  <c r="E6" i="1"/>
  <c r="E7" i="1"/>
  <c r="E8" i="1"/>
  <c r="E9" i="1"/>
  <c r="D3" i="1"/>
  <c r="D4" i="1"/>
  <c r="D5" i="1"/>
  <c r="D6" i="1"/>
  <c r="D7" i="1"/>
  <c r="D8" i="1"/>
  <c r="D9" i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2" i="1"/>
  <c r="E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3" i="1"/>
  <c r="C55" i="2"/>
  <c r="D55" i="2" s="1"/>
  <c r="C53" i="2"/>
  <c r="D53" i="2" s="1"/>
  <c r="C52" i="2"/>
  <c r="D52" i="2" s="1"/>
  <c r="C54" i="2"/>
  <c r="D54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16" i="2"/>
  <c r="D16" i="2" s="1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2" i="2"/>
  <c r="D2" i="2" s="1"/>
  <c r="I5" i="2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2" i="1"/>
  <c r="J2" i="1" s="1"/>
  <c r="D32" i="1" l="1"/>
  <c r="L5" i="1"/>
  <c r="F7" i="2"/>
  <c r="E32" i="1" l="1"/>
  <c r="D33" i="1"/>
  <c r="E33" i="1" l="1"/>
  <c r="D34" i="1"/>
  <c r="E34" i="1" l="1"/>
  <c r="D35" i="1"/>
  <c r="D36" i="1" l="1"/>
  <c r="E35" i="1"/>
  <c r="D37" i="1" l="1"/>
  <c r="E36" i="1"/>
  <c r="D38" i="1" l="1"/>
  <c r="E37" i="1"/>
  <c r="D39" i="1" l="1"/>
  <c r="E38" i="1"/>
  <c r="D40" i="1" l="1"/>
  <c r="E39" i="1"/>
  <c r="E40" i="1" l="1"/>
  <c r="E42" i="1" l="1"/>
  <c r="E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tc={239BFA68-5831-4851-82DC-C23498111747}</author>
  </authors>
  <commentList>
    <comment ref="B1" authorId="0" shapeId="0" xr:uid="{239BFA68-5831-4851-82DC-C2349811174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https://www.mpi.govt.nz/consultations/proposed-changes-to-forestry-in-the-nz-ets</t>
      </text>
    </comment>
  </commentList>
</comments>
</file>

<file path=xl/sharedStrings.xml><?xml version="1.0" encoding="utf-8"?>
<sst xmlns="http://schemas.openxmlformats.org/spreadsheetml/2006/main" count="24" uniqueCount="20">
  <si>
    <t>Age</t>
  </si>
  <si>
    <t>Modelled</t>
  </si>
  <si>
    <t>Model params</t>
  </si>
  <si>
    <t>C_max</t>
  </si>
  <si>
    <t>k_carbon</t>
  </si>
  <si>
    <t>Fraction of mature price (GPT-5.1 midpoint)</t>
  </si>
  <si>
    <t>age of rise</t>
  </si>
  <si>
    <t>age of fall</t>
  </si>
  <si>
    <t>steepness of rise</t>
  </si>
  <si>
    <t>steepness of fall</t>
  </si>
  <si>
    <t>least squares</t>
  </si>
  <si>
    <t>obj</t>
  </si>
  <si>
    <t>kinda dumb and overcomplicated, just use piecewise linear</t>
  </si>
  <si>
    <t>t CO2/ha (NI) - Scion report on revised carbon tables</t>
  </si>
  <si>
    <t>Residual stock</t>
  </si>
  <si>
    <t>Recovered %</t>
  </si>
  <si>
    <t>Actual stock (harvest at 28 with 10-year decay) no replant</t>
  </si>
  <si>
    <t>Stock change</t>
  </si>
  <si>
    <t>Averaging</t>
  </si>
  <si>
    <t>Permanent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</si>
</sst>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164" fontId="0" fillId="0" borderId="1" xfId="0" applyNumberFormat="1" applyBorder="1"/>
    <xf numFmtId="1" fontId="0" fillId="0" borderId="2" xfId="0" applyNumberFormat="1" applyBorder="1"/>
    <xf numFmtId="9" fontId="0" fillId="0" borderId="0" xfId="1" applyFont="1" applyBorder="1"/>
    <xf numFmtId="1" fontId="0" fillId="0" borderId="0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'carbon table'!$B$1</c:f>
              <c:strCache>
                <c:ptCount val="1"/>
                <c:pt idx="0">
                  <c:v>t CO2/ha (NI) - Scion report on revised carbon tables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'carbon table'!$B$2:$B$52</c:f>
              <c:numCache>
                <c:formatCode>0.0</c:formatCode>
                <c:ptCount val="51"/>
                <c:pt idx="0" formatCode="0">
                  <c:v>0</c:v>
                </c:pt>
                <c:pt idx="1">
                  <c:v>0.35570308063309297</c:v>
                </c:pt>
                <c:pt idx="2" formatCode="0">
                  <c:v>1.76</c:v>
                </c:pt>
                <c:pt idx="3" formatCode="0">
                  <c:v>5.28</c:v>
                </c:pt>
                <c:pt idx="4" formatCode="0">
                  <c:v>22.88</c:v>
                </c:pt>
                <c:pt idx="5" formatCode="0">
                  <c:v>52.8</c:v>
                </c:pt>
                <c:pt idx="6" formatCode="0">
                  <c:v>96.8</c:v>
                </c:pt>
                <c:pt idx="7" formatCode="0">
                  <c:v>144.32</c:v>
                </c:pt>
                <c:pt idx="8" formatCode="0">
                  <c:v>182.16</c:v>
                </c:pt>
                <c:pt idx="9" formatCode="0">
                  <c:v>220.88</c:v>
                </c:pt>
                <c:pt idx="10" formatCode="0">
                  <c:v>259.60000000000002</c:v>
                </c:pt>
                <c:pt idx="11" formatCode="0">
                  <c:v>292.16000000000003</c:v>
                </c:pt>
                <c:pt idx="12" formatCode="0">
                  <c:v>328.24</c:v>
                </c:pt>
                <c:pt idx="13" formatCode="0">
                  <c:v>366.96</c:v>
                </c:pt>
                <c:pt idx="14" formatCode="0">
                  <c:v>408.32</c:v>
                </c:pt>
                <c:pt idx="15" formatCode="0">
                  <c:v>449.68</c:v>
                </c:pt>
                <c:pt idx="16" formatCode="0">
                  <c:v>492.8</c:v>
                </c:pt>
                <c:pt idx="17" formatCode="0">
                  <c:v>535.91999999999996</c:v>
                </c:pt>
                <c:pt idx="18" formatCode="0">
                  <c:v>579.04</c:v>
                </c:pt>
                <c:pt idx="19" formatCode="0">
                  <c:v>622.16</c:v>
                </c:pt>
                <c:pt idx="20" formatCode="0">
                  <c:v>664.4</c:v>
                </c:pt>
                <c:pt idx="21" formatCode="0">
                  <c:v>706.64</c:v>
                </c:pt>
                <c:pt idx="22" formatCode="0">
                  <c:v>748</c:v>
                </c:pt>
                <c:pt idx="23" formatCode="0">
                  <c:v>789.36</c:v>
                </c:pt>
                <c:pt idx="24" formatCode="0">
                  <c:v>830.72</c:v>
                </c:pt>
                <c:pt idx="25" formatCode="0">
                  <c:v>871.2</c:v>
                </c:pt>
                <c:pt idx="26" formatCode="0">
                  <c:v>911.68</c:v>
                </c:pt>
                <c:pt idx="27" formatCode="0">
                  <c:v>951.28</c:v>
                </c:pt>
                <c:pt idx="28" formatCode="0">
                  <c:v>990.88</c:v>
                </c:pt>
                <c:pt idx="29" formatCode="0">
                  <c:v>1028.72</c:v>
                </c:pt>
                <c:pt idx="30" formatCode="0">
                  <c:v>1066.56</c:v>
                </c:pt>
                <c:pt idx="31" formatCode="0">
                  <c:v>1103.52</c:v>
                </c:pt>
                <c:pt idx="32" formatCode="0">
                  <c:v>1139.5999999999999</c:v>
                </c:pt>
                <c:pt idx="33" formatCode="0">
                  <c:v>1173.92</c:v>
                </c:pt>
                <c:pt idx="34" formatCode="0">
                  <c:v>1208.24</c:v>
                </c:pt>
                <c:pt idx="35" formatCode="0">
                  <c:v>1241.68</c:v>
                </c:pt>
                <c:pt idx="36" formatCode="0">
                  <c:v>1273.3599999999999</c:v>
                </c:pt>
                <c:pt idx="37" formatCode="0">
                  <c:v>1305.04</c:v>
                </c:pt>
                <c:pt idx="38" formatCode="0">
                  <c:v>1336.72</c:v>
                </c:pt>
                <c:pt idx="39" formatCode="0">
                  <c:v>1366.64</c:v>
                </c:pt>
                <c:pt idx="40" formatCode="0">
                  <c:v>1396.56</c:v>
                </c:pt>
                <c:pt idx="41" formatCode="0">
                  <c:v>1426.48</c:v>
                </c:pt>
                <c:pt idx="42" formatCode="0">
                  <c:v>1455.52</c:v>
                </c:pt>
                <c:pt idx="43" formatCode="0">
                  <c:v>1483.68</c:v>
                </c:pt>
                <c:pt idx="44" formatCode="0">
                  <c:v>1510.96</c:v>
                </c:pt>
                <c:pt idx="45" formatCode="0">
                  <c:v>1537.36</c:v>
                </c:pt>
                <c:pt idx="46" formatCode="0">
                  <c:v>1562.88</c:v>
                </c:pt>
                <c:pt idx="47" formatCode="0">
                  <c:v>1588.4</c:v>
                </c:pt>
                <c:pt idx="48" formatCode="0">
                  <c:v>1612.16</c:v>
                </c:pt>
                <c:pt idx="49" formatCode="0">
                  <c:v>1636.8</c:v>
                </c:pt>
                <c:pt idx="50" formatCode="0">
                  <c:v>1659.68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C-43BF-9C74-F26FE7580B79}"/>
            </c:ext>
          </c:extLst>
        </c:ser>
        <c:ser>
          <c:idx val="1"/>
          <c:order val="1"/>
          <c:tx>
            <c:strRef>
              <c:f>'carbon table'!$I$1</c:f>
              <c:strCache>
                <c:ptCount val="1"/>
                <c:pt idx="0">
                  <c:v>Modelled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'carbon table'!$I$2:$I$52</c:f>
              <c:numCache>
                <c:formatCode>General</c:formatCode>
                <c:ptCount val="51"/>
                <c:pt idx="0">
                  <c:v>0</c:v>
                </c:pt>
                <c:pt idx="1">
                  <c:v>3.3352895225504389</c:v>
                </c:pt>
                <c:pt idx="2">
                  <c:v>12.829260036603872</c:v>
                </c:pt>
                <c:pt idx="3">
                  <c:v>27.765480343110781</c:v>
                </c:pt>
                <c:pt idx="4">
                  <c:v>47.491585981086061</c:v>
                </c:pt>
                <c:pt idx="5">
                  <c:v>71.414037902592668</c:v>
                </c:pt>
                <c:pt idx="6">
                  <c:v>98.993293881286888</c:v>
                </c:pt>
                <c:pt idx="7">
                  <c:v>129.73936073141127</c:v>
                </c:pt>
                <c:pt idx="8">
                  <c:v>163.20769786162015</c:v>
                </c:pt>
                <c:pt idx="9">
                  <c:v>198.99544494870125</c:v>
                </c:pt>
                <c:pt idx="10">
                  <c:v>236.73794860433679</c:v>
                </c:pt>
                <c:pt idx="11">
                  <c:v>276.10556483668336</c:v>
                </c:pt>
                <c:pt idx="12">
                  <c:v>316.80071588987948</c:v>
                </c:pt>
                <c:pt idx="13">
                  <c:v>358.5551816898473</c:v>
                </c:pt>
                <c:pt idx="14">
                  <c:v>401.12760764429066</c:v>
                </c:pt>
                <c:pt idx="15">
                  <c:v>444.30121194820737</c:v>
                </c:pt>
                <c:pt idx="16">
                  <c:v>487.88167684235907</c:v>
                </c:pt>
                <c:pt idx="17">
                  <c:v>531.69520946916953</c:v>
                </c:pt>
                <c:pt idx="18">
                  <c:v>575.58675907599195</c:v>
                </c:pt>
                <c:pt idx="19">
                  <c:v>619.41837833660145</c:v>
                </c:pt>
                <c:pt idx="20">
                  <c:v>663.06771750453436</c:v>
                </c:pt>
                <c:pt idx="21">
                  <c:v>706.42664098253658</c:v>
                </c:pt>
                <c:pt idx="22">
                  <c:v>749.39995669631935</c:v>
                </c:pt>
                <c:pt idx="23">
                  <c:v>791.90424940322259</c:v>
                </c:pt>
                <c:pt idx="24">
                  <c:v>833.86680975187892</c:v>
                </c:pt>
                <c:pt idx="25">
                  <c:v>875.22465154194163</c:v>
                </c:pt>
                <c:pt idx="26">
                  <c:v>915.92361021738816</c:v>
                </c:pt>
                <c:pt idx="27">
                  <c:v>955.91751616651379</c:v>
                </c:pt>
                <c:pt idx="28">
                  <c:v>995.16743689995258</c:v>
                </c:pt>
                <c:pt idx="29">
                  <c:v>1033.6409826380334</c:v>
                </c:pt>
                <c:pt idx="30">
                  <c:v>1071.3116702634447</c:v>
                </c:pt>
                <c:pt idx="31">
                  <c:v>1108.1583409871894</c:v>
                </c:pt>
                <c:pt idx="32">
                  <c:v>1144.164627437749</c:v>
                </c:pt>
                <c:pt idx="33">
                  <c:v>1179.3184662174228</c:v>
                </c:pt>
                <c:pt idx="34">
                  <c:v>1213.6116522782097</c:v>
                </c:pt>
                <c:pt idx="35">
                  <c:v>1247.0394317542336</c:v>
                </c:pt>
                <c:pt idx="36">
                  <c:v>1279.6001301504357</c:v>
                </c:pt>
                <c:pt idx="37">
                  <c:v>1311.2948130297546</c:v>
                </c:pt>
                <c:pt idx="38">
                  <c:v>1342.1269765647878</c:v>
                </c:pt>
                <c:pt idx="39">
                  <c:v>1372.1022655264685</c:v>
                </c:pt>
                <c:pt idx="40">
                  <c:v>1401.2282164728699</c:v>
                </c:pt>
                <c:pt idx="41">
                  <c:v>1429.5140240771232</c:v>
                </c:pt>
                <c:pt idx="42">
                  <c:v>1456.9703286957026</c:v>
                </c:pt>
                <c:pt idx="43">
                  <c:v>1483.6090234280678</c:v>
                </c:pt>
                <c:pt idx="44">
                  <c:v>1509.4430790567667</c:v>
                </c:pt>
                <c:pt idx="45">
                  <c:v>1534.4863853845723</c:v>
                </c:pt>
                <c:pt idx="46">
                  <c:v>1558.7536076027477</c:v>
                </c:pt>
                <c:pt idx="47">
                  <c:v>1582.260056433006</c:v>
                </c:pt>
                <c:pt idx="48">
                  <c:v>1605.0215708857238</c:v>
                </c:pt>
                <c:pt idx="49">
                  <c:v>1627.0544125692202</c:v>
                </c:pt>
                <c:pt idx="50">
                  <c:v>1648.3751705699922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4C-43BF-9C74-F26FE7580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933104"/>
        <c:axId val="1140933584"/>
      </c:lineChart>
      <c:catAx>
        <c:axId val="1140933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33584"/>
        <c:crosses val="autoZero"/>
        <c:auto val="1"/>
        <c:lblAlgn val="ctr"/>
        <c:lblOffset val="100"/>
        <c:noMultiLvlLbl val="0"/>
      </c:catAx>
      <c:valAx>
        <c:axId val="114093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933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'carbon table'!$E$1</c:f>
              <c:strCache>
                <c:ptCount val="1"/>
                <c:pt idx="0">
                  <c:v>Stock 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'carbon table'!$E$2:$E$52</c:f>
              <c:numCache>
                <c:formatCode>0</c:formatCode>
                <c:ptCount val="51"/>
                <c:pt idx="0">
                  <c:v>0</c:v>
                </c:pt>
                <c:pt idx="1">
                  <c:v>0.35570308063309297</c:v>
                </c:pt>
                <c:pt idx="2">
                  <c:v>1.76</c:v>
                </c:pt>
                <c:pt idx="3">
                  <c:v>5.28</c:v>
                </c:pt>
                <c:pt idx="4">
                  <c:v>22.88</c:v>
                </c:pt>
                <c:pt idx="5">
                  <c:v>52.8</c:v>
                </c:pt>
                <c:pt idx="6">
                  <c:v>96.8</c:v>
                </c:pt>
                <c:pt idx="7">
                  <c:v>144.32</c:v>
                </c:pt>
                <c:pt idx="8">
                  <c:v>182.16</c:v>
                </c:pt>
                <c:pt idx="9">
                  <c:v>220.88</c:v>
                </c:pt>
                <c:pt idx="10">
                  <c:v>259.60000000000002</c:v>
                </c:pt>
                <c:pt idx="11">
                  <c:v>292.16000000000003</c:v>
                </c:pt>
                <c:pt idx="12">
                  <c:v>328.24</c:v>
                </c:pt>
                <c:pt idx="13">
                  <c:v>366.96</c:v>
                </c:pt>
                <c:pt idx="14">
                  <c:v>408.32</c:v>
                </c:pt>
                <c:pt idx="15">
                  <c:v>449.68</c:v>
                </c:pt>
                <c:pt idx="16">
                  <c:v>492.8</c:v>
                </c:pt>
                <c:pt idx="17">
                  <c:v>535.91999999999996</c:v>
                </c:pt>
                <c:pt idx="18">
                  <c:v>579.04</c:v>
                </c:pt>
                <c:pt idx="19">
                  <c:v>622.16</c:v>
                </c:pt>
                <c:pt idx="20">
                  <c:v>664.4</c:v>
                </c:pt>
                <c:pt idx="21">
                  <c:v>706.64</c:v>
                </c:pt>
                <c:pt idx="22">
                  <c:v>748</c:v>
                </c:pt>
                <c:pt idx="23">
                  <c:v>789.36</c:v>
                </c:pt>
                <c:pt idx="24">
                  <c:v>830.72</c:v>
                </c:pt>
                <c:pt idx="25">
                  <c:v>871.2</c:v>
                </c:pt>
                <c:pt idx="26">
                  <c:v>911.68</c:v>
                </c:pt>
                <c:pt idx="27">
                  <c:v>951.28</c:v>
                </c:pt>
                <c:pt idx="28">
                  <c:v>447.92</c:v>
                </c:pt>
                <c:pt idx="29">
                  <c:v>403.48370308063312</c:v>
                </c:pt>
                <c:pt idx="30">
                  <c:v>360.096</c:v>
                </c:pt>
                <c:pt idx="31">
                  <c:v>318.82399999999996</c:v>
                </c:pt>
                <c:pt idx="32">
                  <c:v>291.63199999999995</c:v>
                </c:pt>
                <c:pt idx="33">
                  <c:v>276.75999999999993</c:v>
                </c:pt>
                <c:pt idx="34">
                  <c:v>275.96799999999996</c:v>
                </c:pt>
                <c:pt idx="35">
                  <c:v>278.69599999999991</c:v>
                </c:pt>
                <c:pt idx="36">
                  <c:v>271.74399999999991</c:v>
                </c:pt>
                <c:pt idx="37">
                  <c:v>265.67199999999991</c:v>
                </c:pt>
                <c:pt idx="38">
                  <c:v>259.59999999999997</c:v>
                </c:pt>
                <c:pt idx="39">
                  <c:v>292.16000000000003</c:v>
                </c:pt>
                <c:pt idx="40">
                  <c:v>328.24</c:v>
                </c:pt>
                <c:pt idx="41">
                  <c:v>366.96</c:v>
                </c:pt>
                <c:pt idx="42">
                  <c:v>408.32</c:v>
                </c:pt>
                <c:pt idx="43">
                  <c:v>449.68</c:v>
                </c:pt>
                <c:pt idx="44">
                  <c:v>492.8</c:v>
                </c:pt>
                <c:pt idx="45">
                  <c:v>535.91999999999996</c:v>
                </c:pt>
                <c:pt idx="46">
                  <c:v>579.04</c:v>
                </c:pt>
                <c:pt idx="47">
                  <c:v>622.16</c:v>
                </c:pt>
                <c:pt idx="48">
                  <c:v>664.4</c:v>
                </c:pt>
                <c:pt idx="49">
                  <c:v>706.64</c:v>
                </c:pt>
                <c:pt idx="50">
                  <c:v>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F-408B-9CAA-C76A30A403A8}"/>
            </c:ext>
          </c:extLst>
        </c:ser>
        <c:ser>
          <c:idx val="1"/>
          <c:order val="1"/>
          <c:tx>
            <c:strRef>
              <c:f>'carbon table'!$F$1</c:f>
              <c:strCache>
                <c:ptCount val="1"/>
                <c:pt idx="0">
                  <c:v>Averaging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'carbon table'!$F$2:$F$52</c:f>
              <c:numCache>
                <c:formatCode>0</c:formatCode>
                <c:ptCount val="51"/>
                <c:pt idx="0">
                  <c:v>0</c:v>
                </c:pt>
                <c:pt idx="1">
                  <c:v>0.35570308063309297</c:v>
                </c:pt>
                <c:pt idx="2">
                  <c:v>1.76</c:v>
                </c:pt>
                <c:pt idx="3">
                  <c:v>5.28</c:v>
                </c:pt>
                <c:pt idx="4">
                  <c:v>22.88</c:v>
                </c:pt>
                <c:pt idx="5">
                  <c:v>52.8</c:v>
                </c:pt>
                <c:pt idx="6">
                  <c:v>96.8</c:v>
                </c:pt>
                <c:pt idx="7">
                  <c:v>144.32</c:v>
                </c:pt>
                <c:pt idx="8">
                  <c:v>182.16</c:v>
                </c:pt>
                <c:pt idx="9">
                  <c:v>220.88</c:v>
                </c:pt>
                <c:pt idx="10">
                  <c:v>259.60000000000002</c:v>
                </c:pt>
                <c:pt idx="11">
                  <c:v>292.16000000000003</c:v>
                </c:pt>
                <c:pt idx="12">
                  <c:v>328.24</c:v>
                </c:pt>
                <c:pt idx="13">
                  <c:v>366.96</c:v>
                </c:pt>
                <c:pt idx="14">
                  <c:v>408.32</c:v>
                </c:pt>
                <c:pt idx="15">
                  <c:v>449.68</c:v>
                </c:pt>
                <c:pt idx="16">
                  <c:v>492.8</c:v>
                </c:pt>
                <c:pt idx="17">
                  <c:v>492.8</c:v>
                </c:pt>
                <c:pt idx="18">
                  <c:v>492.8</c:v>
                </c:pt>
                <c:pt idx="19">
                  <c:v>492.8</c:v>
                </c:pt>
                <c:pt idx="20">
                  <c:v>492.8</c:v>
                </c:pt>
                <c:pt idx="21">
                  <c:v>492.8</c:v>
                </c:pt>
                <c:pt idx="22">
                  <c:v>492.8</c:v>
                </c:pt>
                <c:pt idx="23">
                  <c:v>492.8</c:v>
                </c:pt>
                <c:pt idx="24">
                  <c:v>492.8</c:v>
                </c:pt>
                <c:pt idx="25">
                  <c:v>492.8</c:v>
                </c:pt>
                <c:pt idx="26">
                  <c:v>492.8</c:v>
                </c:pt>
                <c:pt idx="27">
                  <c:v>492.8</c:v>
                </c:pt>
                <c:pt idx="28">
                  <c:v>492.8</c:v>
                </c:pt>
                <c:pt idx="29">
                  <c:v>492.8</c:v>
                </c:pt>
                <c:pt idx="30">
                  <c:v>492.8</c:v>
                </c:pt>
                <c:pt idx="31">
                  <c:v>492.8</c:v>
                </c:pt>
                <c:pt idx="32">
                  <c:v>492.8</c:v>
                </c:pt>
                <c:pt idx="33">
                  <c:v>492.8</c:v>
                </c:pt>
                <c:pt idx="34">
                  <c:v>492.8</c:v>
                </c:pt>
                <c:pt idx="35">
                  <c:v>492.8</c:v>
                </c:pt>
                <c:pt idx="36">
                  <c:v>492.8</c:v>
                </c:pt>
                <c:pt idx="37">
                  <c:v>492.8</c:v>
                </c:pt>
                <c:pt idx="38">
                  <c:v>492.8</c:v>
                </c:pt>
                <c:pt idx="39">
                  <c:v>492.8</c:v>
                </c:pt>
                <c:pt idx="40">
                  <c:v>492.8</c:v>
                </c:pt>
                <c:pt idx="41">
                  <c:v>492.8</c:v>
                </c:pt>
                <c:pt idx="42">
                  <c:v>492.8</c:v>
                </c:pt>
                <c:pt idx="43">
                  <c:v>492.8</c:v>
                </c:pt>
                <c:pt idx="44">
                  <c:v>492.8</c:v>
                </c:pt>
                <c:pt idx="45">
                  <c:v>492.8</c:v>
                </c:pt>
                <c:pt idx="46">
                  <c:v>492.8</c:v>
                </c:pt>
                <c:pt idx="47">
                  <c:v>492.8</c:v>
                </c:pt>
                <c:pt idx="48">
                  <c:v>492.8</c:v>
                </c:pt>
                <c:pt idx="49">
                  <c:v>492.8</c:v>
                </c:pt>
                <c:pt idx="50">
                  <c:v>492.8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3F-408B-9CAA-C76A30A403A8}"/>
            </c:ext>
          </c:extLst>
        </c:ser>
        <c:ser>
          <c:idx val="2"/>
          <c:order val="2"/>
          <c:tx>
            <c:strRef>
              <c:f>'carbon table'!$G$1</c:f>
              <c:strCache>
                <c:ptCount val="1"/>
                <c:pt idx="0">
                  <c:v>Permanent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'carbon table'!$G$2:$G$52</c:f>
              <c:numCache>
                <c:formatCode>0</c:formatCode>
                <c:ptCount val="51"/>
                <c:pt idx="0">
                  <c:v>0</c:v>
                </c:pt>
                <c:pt idx="1">
                  <c:v>0.35570308063309297</c:v>
                </c:pt>
                <c:pt idx="2">
                  <c:v>1.76</c:v>
                </c:pt>
                <c:pt idx="3">
                  <c:v>5.28</c:v>
                </c:pt>
                <c:pt idx="4">
                  <c:v>22.88</c:v>
                </c:pt>
                <c:pt idx="5">
                  <c:v>52.8</c:v>
                </c:pt>
                <c:pt idx="6">
                  <c:v>96.8</c:v>
                </c:pt>
                <c:pt idx="7">
                  <c:v>144.32</c:v>
                </c:pt>
                <c:pt idx="8">
                  <c:v>182.16</c:v>
                </c:pt>
                <c:pt idx="9">
                  <c:v>220.88</c:v>
                </c:pt>
                <c:pt idx="10">
                  <c:v>259.60000000000002</c:v>
                </c:pt>
                <c:pt idx="11">
                  <c:v>292.16000000000003</c:v>
                </c:pt>
                <c:pt idx="12">
                  <c:v>328.24</c:v>
                </c:pt>
                <c:pt idx="13">
                  <c:v>366.96</c:v>
                </c:pt>
                <c:pt idx="14">
                  <c:v>408.32</c:v>
                </c:pt>
                <c:pt idx="15">
                  <c:v>449.68</c:v>
                </c:pt>
                <c:pt idx="16">
                  <c:v>492.8</c:v>
                </c:pt>
                <c:pt idx="17">
                  <c:v>535.91999999999996</c:v>
                </c:pt>
                <c:pt idx="18">
                  <c:v>579.04</c:v>
                </c:pt>
                <c:pt idx="19">
                  <c:v>622.16</c:v>
                </c:pt>
                <c:pt idx="20">
                  <c:v>664.4</c:v>
                </c:pt>
                <c:pt idx="21">
                  <c:v>706.64</c:v>
                </c:pt>
                <c:pt idx="22">
                  <c:v>748</c:v>
                </c:pt>
                <c:pt idx="23">
                  <c:v>789.36</c:v>
                </c:pt>
                <c:pt idx="24">
                  <c:v>830.72</c:v>
                </c:pt>
                <c:pt idx="25">
                  <c:v>871.2</c:v>
                </c:pt>
                <c:pt idx="26">
                  <c:v>911.68</c:v>
                </c:pt>
                <c:pt idx="27">
                  <c:v>951.28</c:v>
                </c:pt>
                <c:pt idx="28">
                  <c:v>990.88</c:v>
                </c:pt>
                <c:pt idx="29">
                  <c:v>1028.72</c:v>
                </c:pt>
                <c:pt idx="30">
                  <c:v>1066.56</c:v>
                </c:pt>
                <c:pt idx="31">
                  <c:v>1103.52</c:v>
                </c:pt>
                <c:pt idx="32">
                  <c:v>1139.5999999999999</c:v>
                </c:pt>
                <c:pt idx="33">
                  <c:v>1173.92</c:v>
                </c:pt>
                <c:pt idx="34">
                  <c:v>1208.24</c:v>
                </c:pt>
                <c:pt idx="35">
                  <c:v>1241.68</c:v>
                </c:pt>
                <c:pt idx="36">
                  <c:v>1273.3599999999999</c:v>
                </c:pt>
                <c:pt idx="37">
                  <c:v>1305.04</c:v>
                </c:pt>
                <c:pt idx="38">
                  <c:v>1336.72</c:v>
                </c:pt>
                <c:pt idx="39">
                  <c:v>1366.64</c:v>
                </c:pt>
                <c:pt idx="40">
                  <c:v>1396.56</c:v>
                </c:pt>
                <c:pt idx="41">
                  <c:v>1426.48</c:v>
                </c:pt>
                <c:pt idx="42">
                  <c:v>1455.52</c:v>
                </c:pt>
                <c:pt idx="43">
                  <c:v>1483.68</c:v>
                </c:pt>
                <c:pt idx="44">
                  <c:v>1510.96</c:v>
                </c:pt>
                <c:pt idx="45">
                  <c:v>1537.36</c:v>
                </c:pt>
                <c:pt idx="46">
                  <c:v>1562.88</c:v>
                </c:pt>
                <c:pt idx="47">
                  <c:v>1588.4</c:v>
                </c:pt>
                <c:pt idx="48">
                  <c:v>1612.16</c:v>
                </c:pt>
                <c:pt idx="49">
                  <c:v>1636.8</c:v>
                </c:pt>
                <c:pt idx="50">
                  <c:v>1659.68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3F-408B-9CAA-C76A30A40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6358656"/>
        <c:axId val="1946355296"/>
      </c:lineChart>
      <c:catAx>
        <c:axId val="1946358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355296"/>
        <c:crosses val="autoZero"/>
        <c:auto val="1"/>
        <c:lblAlgn val="ctr"/>
        <c:lblOffset val="100"/>
        <c:noMultiLvlLbl val="0"/>
      </c:catAx>
      <c:valAx>
        <c:axId val="19463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NZU accumulation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35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price_over_time!$B$1</c:f>
              <c:strCache>
                <c:ptCount val="1"/>
                <c:pt idx="0">
                  <c:v>Fraction of mature price (GPT-5.1 midpoint)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price_over_time!$B$2:$B$52</c:f>
              <c:numCache>
                <c:formatCode>General</c:formatCode>
                <c:ptCount val="5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0.97499999999999998</c:v>
                </c:pt>
                <c:pt idx="34">
                  <c:v>0.97499999999999998</c:v>
                </c:pt>
                <c:pt idx="35">
                  <c:v>0.97499999999999998</c:v>
                </c:pt>
                <c:pt idx="36">
                  <c:v>0.97499999999999998</c:v>
                </c:pt>
                <c:pt idx="37">
                  <c:v>0.97499999999999998</c:v>
                </c:pt>
                <c:pt idx="38">
                  <c:v>0.97499999999999998</c:v>
                </c:pt>
                <c:pt idx="39">
                  <c:v>0.97499999999999998</c:v>
                </c:pt>
                <c:pt idx="40">
                  <c:v>0.97499999999999998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F3-4079-88C6-974AED2B0A86}"/>
            </c:ext>
          </c:extLst>
        </c:ser>
        <c:ser>
          <c:idx val="1"/>
          <c:order val="1"/>
          <c:tx>
            <c:strRef>
              <c:f>price_over_time!$C$1</c:f>
              <c:strCache>
                <c:ptCount val="1"/>
                <c:pt idx="0">
                  <c:v>Modelled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price_over_time!$C$2:$C$90</c:f>
              <c:numCache>
                <c:formatCode>General</c:formatCode>
                <c:ptCount val="89"/>
                <c:pt idx="0">
                  <c:v>0.40533590880280151</c:v>
                </c:pt>
                <c:pt idx="1">
                  <c:v>0.42860708967811711</c:v>
                </c:pt>
                <c:pt idx="2">
                  <c:v>0.45219703167349146</c:v>
                </c:pt>
                <c:pt idx="3">
                  <c:v>0.47600206379375526</c:v>
                </c:pt>
                <c:pt idx="4">
                  <c:v>0.49991455818511549</c:v>
                </c:pt>
                <c:pt idx="5">
                  <c:v>0.52382483030507909</c:v>
                </c:pt>
                <c:pt idx="6">
                  <c:v>0.54762311316774048</c:v>
                </c:pt>
                <c:pt idx="7">
                  <c:v>0.57120152883208131</c:v>
                </c:pt>
                <c:pt idx="8">
                  <c:v>0.59445598019944157</c:v>
                </c:pt>
                <c:pt idx="9">
                  <c:v>0.61728789105754167</c:v>
                </c:pt>
                <c:pt idx="10">
                  <c:v>0.6396057316551742</c:v>
                </c:pt>
                <c:pt idx="11">
                  <c:v>0.66132627999062732</c:v>
                </c:pt>
                <c:pt idx="12">
                  <c:v>0.68237558422286082</c:v>
                </c:pt>
                <c:pt idx="13">
                  <c:v>0.70268960779808487</c:v>
                </c:pt>
                <c:pt idx="14">
                  <c:v>0.7222145546768185</c:v>
                </c:pt>
                <c:pt idx="15">
                  <c:v>0.74090688626496604</c:v>
                </c:pt>
                <c:pt idx="16">
                  <c:v>0.75873305338761998</c:v>
                </c:pt>
                <c:pt idx="17">
                  <c:v>0.77566897531858015</c:v>
                </c:pt>
                <c:pt idx="18">
                  <c:v>0.79169930325486348</c:v>
                </c:pt>
                <c:pt idx="19">
                  <c:v>0.80681650777357339</c:v>
                </c:pt>
                <c:pt idx="20">
                  <c:v>0.82101982904216808</c:v>
                </c:pt>
                <c:pt idx="21">
                  <c:v>0.83431412535232652</c:v>
                </c:pt>
                <c:pt idx="22">
                  <c:v>0.84670865047967692</c:v>
                </c:pt>
                <c:pt idx="23">
                  <c:v>0.85821578402269982</c:v>
                </c:pt>
                <c:pt idx="24">
                  <c:v>0.86884973179704195</c:v>
                </c:pt>
                <c:pt idx="25">
                  <c:v>0.87862520604436056</c:v>
                </c:pt>
                <c:pt idx="26">
                  <c:v>0.88755608806985875</c:v>
                </c:pt>
                <c:pt idx="27">
                  <c:v>0.89565406929398261</c:v>
                </c:pt>
                <c:pt idx="28">
                  <c:v>0.9029272608918526</c:v>
                </c:pt>
                <c:pt idx="29">
                  <c:v>0.90937875749442343</c:v>
                </c:pt>
                <c:pt idx="30">
                  <c:v>0.9150051371801019</c:v>
                </c:pt>
                <c:pt idx="31">
                  <c:v>0.91979487864617937</c:v>
                </c:pt>
                <c:pt idx="32">
                  <c:v>0.9237266776516011</c:v>
                </c:pt>
                <c:pt idx="33">
                  <c:v>0.92676764947034451</c:v>
                </c:pt>
                <c:pt idx="34">
                  <c:v>0.92887141345024782</c:v>
                </c:pt>
                <c:pt idx="35">
                  <c:v>0.9299760715400841</c:v>
                </c:pt>
                <c:pt idx="36">
                  <c:v>0.93000211702996716</c:v>
                </c:pt>
                <c:pt idx="37">
                  <c:v>0.9288503454280016</c:v>
                </c:pt>
                <c:pt idx="38">
                  <c:v>0.92639988936336093</c:v>
                </c:pt>
                <c:pt idx="39">
                  <c:v>0.92250656653583085</c:v>
                </c:pt>
                <c:pt idx="40">
                  <c:v>0.91700181590794327</c:v>
                </c:pt>
                <c:pt idx="41">
                  <c:v>0.90969260193820223</c:v>
                </c:pt>
                <c:pt idx="42">
                  <c:v>0.90036278419537186</c:v>
                </c:pt>
                <c:pt idx="43">
                  <c:v>0.88877656652908454</c:v>
                </c:pt>
                <c:pt idx="44">
                  <c:v>0.8746847303627554</c:v>
                </c:pt>
                <c:pt idx="45">
                  <c:v>0.85783437922695471</c:v>
                </c:pt>
                <c:pt idx="46">
                  <c:v>0.83798281832101962</c:v>
                </c:pt>
                <c:pt idx="47">
                  <c:v>0.81491589420719568</c:v>
                </c:pt>
                <c:pt idx="48">
                  <c:v>0.78847056089575651</c:v>
                </c:pt>
                <c:pt idx="49">
                  <c:v>0.75856059002114551</c:v>
                </c:pt>
                <c:pt idx="50">
                  <c:v>0.72520325381797346</c:v>
                </c:pt>
                <c:pt idx="51">
                  <c:v>0.72520325381797346</c:v>
                </c:pt>
                <c:pt idx="52">
                  <c:v>0.72520325381797346</c:v>
                </c:pt>
                <c:pt idx="53">
                  <c:v>0.72520325381797346</c:v>
                </c:pt>
                <c:pt idx="54">
                  <c:v>0.72520325381797346</c:v>
                </c:pt>
                <c:pt idx="55">
                  <c:v>0.72520325381797346</c:v>
                </c:pt>
                <c:pt idx="56">
                  <c:v>0.72520325381797346</c:v>
                </c:pt>
                <c:pt idx="57">
                  <c:v>0.72520325381797346</c:v>
                </c:pt>
                <c:pt idx="58">
                  <c:v>0.72520325381797346</c:v>
                </c:pt>
                <c:pt idx="59">
                  <c:v>0.72520325381797346</c:v>
                </c:pt>
                <c:pt idx="60">
                  <c:v>0.72520325381797346</c:v>
                </c:pt>
                <c:pt idx="61">
                  <c:v>0.72520325381797346</c:v>
                </c:pt>
                <c:pt idx="62">
                  <c:v>0.72520325381797346</c:v>
                </c:pt>
                <c:pt idx="63">
                  <c:v>0.72520325381797346</c:v>
                </c:pt>
                <c:pt idx="64">
                  <c:v>0.72520325381797346</c:v>
                </c:pt>
                <c:pt idx="65">
                  <c:v>0.72520325381797346</c:v>
                </c:pt>
                <c:pt idx="66">
                  <c:v>0.72520325381797346</c:v>
                </c:pt>
                <c:pt idx="67">
                  <c:v>0.72520325381797346</c:v>
                </c:pt>
                <c:pt idx="68">
                  <c:v>0.72520325381797346</c:v>
                </c:pt>
                <c:pt idx="69">
                  <c:v>0.72520325381797346</c:v>
                </c:pt>
                <c:pt idx="70">
                  <c:v>0.72520325381797346</c:v>
                </c:pt>
                <c:pt idx="71">
                  <c:v>0.72520325381797346</c:v>
                </c:pt>
                <c:pt idx="72">
                  <c:v>0.72520325381797346</c:v>
                </c:pt>
                <c:pt idx="73">
                  <c:v>0.72520325381797346</c:v>
                </c:pt>
                <c:pt idx="74">
                  <c:v>0.72520325381797346</c:v>
                </c:pt>
                <c:pt idx="75">
                  <c:v>0.72520325381797346</c:v>
                </c:pt>
                <c:pt idx="76">
                  <c:v>0.72520325381797346</c:v>
                </c:pt>
                <c:pt idx="77">
                  <c:v>0.72520325381797346</c:v>
                </c:pt>
                <c:pt idx="78">
                  <c:v>0.72520325381797346</c:v>
                </c:pt>
                <c:pt idx="79">
                  <c:v>0.72520325381797346</c:v>
                </c:pt>
                <c:pt idx="80">
                  <c:v>0.72520325381797346</c:v>
                </c:pt>
                <c:pt idx="81">
                  <c:v>0.72520325381797346</c:v>
                </c:pt>
                <c:pt idx="82">
                  <c:v>0.72520325381797346</c:v>
                </c:pt>
                <c:pt idx="83">
                  <c:v>0.72520325381797346</c:v>
                </c:pt>
                <c:pt idx="84">
                  <c:v>0.72520325381797346</c:v>
                </c:pt>
                <c:pt idx="85">
                  <c:v>0.72520325381797346</c:v>
                </c:pt>
                <c:pt idx="86">
                  <c:v>0.72520325381797346</c:v>
                </c:pt>
                <c:pt idx="87">
                  <c:v>0.72520325381797346</c:v>
                </c:pt>
                <c:pt idx="88">
                  <c:v>0.72520325381797346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F3-4079-88C6-974AED2B0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7144223"/>
        <c:axId val="1397137983"/>
      </c:lineChart>
      <c:catAx>
        <c:axId val="1397144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137983"/>
        <c:crosses val="autoZero"/>
        <c:auto val="1"/>
        <c:lblAlgn val="ctr"/>
        <c:lblOffset val="100"/>
        <c:noMultiLvlLbl val="0"/>
      </c:catAx>
      <c:valAx>
        <c:axId val="139713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14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price_over_time!$W$9:$W$11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10</c:v>
                </c:pt>
              </c:numCache>
            </c:numRef>
          </c:xVal>
          <c:yVal>
            <c:numRef>
              <c:f>price_over_time!$X$9:$X$11</c:f>
              <c:numCache>
                <c:formatCode>General</c:formatCode>
                <c:ptCount val="3"/>
                <c:pt idx="0">
                  <c:v>36</c:v>
                </c:pt>
                <c:pt idx="1">
                  <c:v>183</c:v>
                </c:pt>
                <c:pt idx="2">
                  <c:v>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C9-4099-BB91-0B9DB3675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548256"/>
        <c:axId val="1164554016"/>
      </c:scatterChart>
      <c:valAx>
        <c:axId val="116454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54016"/>
        <c:crosses val="autoZero"/>
        <c:crossBetween val="midCat"/>
      </c:valAx>
      <c:valAx>
        <c:axId val="116455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4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price_over_time!$V$9:$V$11</c:f>
              <c:numCache>
                <c:formatCode>General</c:formatCode>
                <c:ptCount val="3"/>
                <c:pt idx="0">
                  <c:v>25</c:v>
                </c:pt>
                <c:pt idx="1">
                  <c:v>49</c:v>
                </c:pt>
                <c:pt idx="2">
                  <c:v>100</c:v>
                </c:pt>
              </c:numCache>
            </c:numRef>
          </c:xVal>
          <c:yVal>
            <c:numRef>
              <c:f>price_over_time!$X$9:$X$11</c:f>
              <c:numCache>
                <c:formatCode>General</c:formatCode>
                <c:ptCount val="3"/>
                <c:pt idx="0">
                  <c:v>36</c:v>
                </c:pt>
                <c:pt idx="1">
                  <c:v>183</c:v>
                </c:pt>
                <c:pt idx="2">
                  <c:v>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52-428F-B7FB-B0CC0BA88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432144"/>
        <c:axId val="1154426864"/>
      </c:scatterChart>
      <c:valAx>
        <c:axId val="115443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426864"/>
        <c:crosses val="autoZero"/>
        <c:crossBetween val="midCat"/>
      </c:valAx>
      <c:valAx>
        <c:axId val="115442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43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22224</xdr:colOff>
      <xdr:row>7</xdr:row>
      <xdr:rowOff>116840</xdr:rowOff>
    </xdr:from>
    <xdr:to>
      <xdr:col>25</xdr:col>
      <xdr:colOff>270509</xdr:colOff>
      <xdr:row>39</xdr:row>
      <xdr:rowOff>16510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C843E-BCF0-8FD6-C265-1FF4D0836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34924</xdr:colOff>
      <xdr:row>3</xdr:row>
      <xdr:rowOff>91440</xdr:rowOff>
    </xdr:from>
    <xdr:to>
      <xdr:col>26</xdr:col>
      <xdr:colOff>300990</xdr:colOff>
      <xdr:row>42</xdr:row>
      <xdr:rowOff>181610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101E4F-0316-964E-5360-6AD65F3F1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335914</xdr:colOff>
      <xdr:row>8</xdr:row>
      <xdr:rowOff>167640</xdr:rowOff>
    </xdr:from>
    <xdr:to>
      <xdr:col>19</xdr:col>
      <xdr:colOff>507999</xdr:colOff>
      <xdr:row>39</xdr:row>
      <xdr:rowOff>132080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644A4-1B37-65E0-CD8F-B07EFD44A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400685</xdr:colOff>
      <xdr:row>13</xdr:row>
      <xdr:rowOff>149860</xdr:rowOff>
    </xdr:from>
    <xdr:to>
      <xdr:col>29</xdr:col>
      <xdr:colOff>95885</xdr:colOff>
      <xdr:row>28</xdr:row>
      <xdr:rowOff>135890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0FCE62-EC6A-A845-E7FB-C80B8AFE5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438785</xdr:colOff>
      <xdr:row>13</xdr:row>
      <xdr:rowOff>162560</xdr:rowOff>
    </xdr:from>
    <xdr:to>
      <xdr:col>37</xdr:col>
      <xdr:colOff>133985</xdr:colOff>
      <xdr:row>28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D6D0C5-1CF1-2BB5-C652-69200B4D9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lex Sharples" id="{BC5C25C8-A6DE-4699-8216-6F19B3028466}" userId="S::alex.sharples@scarlatti.co.nz::973485a4-016c-4e7f-af27-60541a498f5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1-04T23:04:18.49" personId="{BC5C25C8-A6DE-4699-8216-6F19B3028466}" id="{239BFA68-5831-4851-82DC-C23498111747}">
    <text>https://www.mpi.govt.nz/consultations/proposed-changes-to-forestry-in-the-nz-ets</text>
    <extLst>
      <x:ext xmlns:xltc2="http://schemas.microsoft.com/office/spreadsheetml/2020/threadedcomments2" uri="{F7C98A9C-CBB3-438F-8F68-D28B6AF4A901}">
        <xltc2:checksum>504864941</xltc2:checksum>
        <xltc2:hyperlink startIndex="0" length="80" url="https://www.mpi.govt.nz/consultations/proposed-changes-to-forestry-in-the-nz-ets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H52" sqref="H20:H52"/>
    </sheetView>
  </sheetViews>
  <sheetFormatPr defaultRowHeight="14.4" x14ac:dyDescent="0.3"/>
  <cols>
    <col min="2" max="8" width="19.5546875" customWidth="1"/>
    <col min="11" max="11" width="12" bestFit="1" customWidth="1"/>
    <col min="12" max="12" width="10" bestFit="1" customWidth="1"/>
  </cols>
  <sheetData>
    <row r="1" spans="1:12" x14ac:dyDescent="0.3">
      <c r="A1" t="s">
        <v>0</v>
      </c>
      <c r="B1" t="s">
        <v>13</v>
      </c>
      <c r="C1" t="s">
        <v>14</v>
      </c>
      <c r="D1" t="s">
        <v>16</v>
      </c>
      <c r="E1" t="s">
        <v>17</v>
      </c>
      <c r="F1" t="s">
        <v>18</v>
      </c>
      <c r="G1" t="s">
        <v>19</v>
      </c>
      <c r="H1" t="s">
        <v>15</v>
      </c>
      <c r="I1" t="s">
        <v>1</v>
      </c>
      <c r="J1" t="s">
        <v>10</v>
      </c>
      <c r="K1" t="s">
        <v>2</v>
      </c>
    </row>
    <row r="2" spans="1:12" x14ac:dyDescent="0.3">
      <c r="A2">
        <v>0</v>
      </c>
      <c r="B2" s="2">
        <v>0</v>
      </c>
      <c r="C2" s="2">
        <v>0</v>
      </c>
      <c r="D2" s="6">
        <f>B2</f>
        <v>0</v>
      </c>
      <c r="E2" s="6">
        <f>D2</f>
        <v>0</v>
      </c>
      <c r="F2" s="6">
        <f>B2</f>
        <v>0</v>
      </c>
      <c r="G2" s="6">
        <f>B2</f>
        <v>0</v>
      </c>
      <c r="H2" s="1"/>
      <c r="I2">
        <f>$L$2*(1-EXP(-$L$3*A2))^2</f>
        <v>0</v>
      </c>
      <c r="J2">
        <f>(I2-B2)^2</f>
        <v>0</v>
      </c>
      <c r="K2" t="s">
        <v>3</v>
      </c>
      <c r="L2">
        <v>2221.7706877025917</v>
      </c>
    </row>
    <row r="3" spans="1:12" x14ac:dyDescent="0.3">
      <c r="A3">
        <v>1</v>
      </c>
      <c r="B3" s="3">
        <v>0.35570308063309297</v>
      </c>
      <c r="C3" s="3">
        <v>0.2832059504711929</v>
      </c>
      <c r="D3" s="6">
        <f t="shared" ref="D3:D29" si="0">B3</f>
        <v>0.35570308063309297</v>
      </c>
      <c r="E3" s="6">
        <f t="shared" ref="E3:E29" si="1">D3</f>
        <v>0.35570308063309297</v>
      </c>
      <c r="F3" s="6">
        <f t="shared" ref="F3:F18" si="2">B3</f>
        <v>0.35570308063309297</v>
      </c>
      <c r="G3" s="6">
        <f t="shared" ref="G3:G52" si="3">B3</f>
        <v>0.35570308063309297</v>
      </c>
      <c r="H3" s="5">
        <f>1-(C3/B3)</f>
        <v>0.20381361340156823</v>
      </c>
      <c r="I3">
        <f t="shared" ref="I3:I52" si="4">$L$2*(1-EXP(-$L$3*A3))^2</f>
        <v>3.3352895225504389</v>
      </c>
      <c r="J3">
        <f t="shared" ref="J3:J52" si="5">(I3-B3)^2</f>
        <v>8.8779353648576684</v>
      </c>
      <c r="K3" t="s">
        <v>4</v>
      </c>
      <c r="L3">
        <v>3.9515694715762335E-2</v>
      </c>
    </row>
    <row r="4" spans="1:12" x14ac:dyDescent="0.3">
      <c r="A4">
        <v>2</v>
      </c>
      <c r="B4" s="2">
        <v>1.76</v>
      </c>
      <c r="C4" s="2">
        <v>1.76</v>
      </c>
      <c r="D4" s="6">
        <f t="shared" si="0"/>
        <v>1.76</v>
      </c>
      <c r="E4" s="6">
        <f t="shared" si="1"/>
        <v>1.76</v>
      </c>
      <c r="F4" s="6">
        <f t="shared" si="2"/>
        <v>1.76</v>
      </c>
      <c r="G4" s="6">
        <f t="shared" si="3"/>
        <v>1.76</v>
      </c>
      <c r="H4" s="5">
        <f t="shared" ref="H4:H52" si="6">1-(C4/B4)</f>
        <v>0</v>
      </c>
      <c r="I4">
        <f t="shared" si="4"/>
        <v>12.829260036603872</v>
      </c>
      <c r="J4">
        <f t="shared" si="5"/>
        <v>122.52851775795556</v>
      </c>
    </row>
    <row r="5" spans="1:12" x14ac:dyDescent="0.3">
      <c r="A5">
        <v>3</v>
      </c>
      <c r="B5" s="2">
        <v>5.28</v>
      </c>
      <c r="C5" s="2">
        <v>4.4000000000000004</v>
      </c>
      <c r="D5" s="6">
        <f t="shared" si="0"/>
        <v>5.28</v>
      </c>
      <c r="E5" s="6">
        <f t="shared" si="1"/>
        <v>5.28</v>
      </c>
      <c r="F5" s="6">
        <f t="shared" si="2"/>
        <v>5.28</v>
      </c>
      <c r="G5" s="6">
        <f t="shared" si="3"/>
        <v>5.28</v>
      </c>
      <c r="H5" s="5">
        <f t="shared" si="6"/>
        <v>0.16666666666666663</v>
      </c>
      <c r="I5">
        <f t="shared" si="4"/>
        <v>27.765480343110781</v>
      </c>
      <c r="J5">
        <f t="shared" si="5"/>
        <v>505.59682626042127</v>
      </c>
      <c r="K5" t="s">
        <v>11</v>
      </c>
      <c r="L5">
        <f>SUM(J2:J52)</f>
        <v>4548.1774113181564</v>
      </c>
    </row>
    <row r="6" spans="1:12" x14ac:dyDescent="0.3">
      <c r="A6">
        <v>4</v>
      </c>
      <c r="B6" s="2">
        <v>22.88</v>
      </c>
      <c r="C6" s="2">
        <v>17.600000000000001</v>
      </c>
      <c r="D6" s="6">
        <f t="shared" si="0"/>
        <v>22.88</v>
      </c>
      <c r="E6" s="6">
        <f t="shared" si="1"/>
        <v>22.88</v>
      </c>
      <c r="F6" s="6">
        <f t="shared" si="2"/>
        <v>22.88</v>
      </c>
      <c r="G6" s="6">
        <f t="shared" si="3"/>
        <v>22.88</v>
      </c>
      <c r="H6" s="5">
        <f t="shared" si="6"/>
        <v>0.23076923076923073</v>
      </c>
      <c r="I6">
        <f t="shared" si="4"/>
        <v>47.491585981086061</v>
      </c>
      <c r="J6">
        <f t="shared" si="5"/>
        <v>605.73016450439195</v>
      </c>
    </row>
    <row r="7" spans="1:12" x14ac:dyDescent="0.3">
      <c r="A7">
        <v>5</v>
      </c>
      <c r="B7" s="2">
        <v>52.8</v>
      </c>
      <c r="C7" s="2">
        <v>38.72</v>
      </c>
      <c r="D7" s="6">
        <f t="shared" si="0"/>
        <v>52.8</v>
      </c>
      <c r="E7" s="6">
        <f t="shared" si="1"/>
        <v>52.8</v>
      </c>
      <c r="F7" s="6">
        <f t="shared" si="2"/>
        <v>52.8</v>
      </c>
      <c r="G7" s="6">
        <f t="shared" si="3"/>
        <v>52.8</v>
      </c>
      <c r="H7" s="5">
        <f t="shared" si="6"/>
        <v>0.26666666666666661</v>
      </c>
      <c r="I7">
        <f t="shared" si="4"/>
        <v>71.414037902592668</v>
      </c>
      <c r="J7">
        <f t="shared" si="5"/>
        <v>346.48240703915656</v>
      </c>
    </row>
    <row r="8" spans="1:12" x14ac:dyDescent="0.3">
      <c r="A8">
        <v>6</v>
      </c>
      <c r="B8" s="2">
        <v>96.8</v>
      </c>
      <c r="C8" s="2">
        <v>69.52</v>
      </c>
      <c r="D8" s="6">
        <f t="shared" si="0"/>
        <v>96.8</v>
      </c>
      <c r="E8" s="6">
        <f t="shared" si="1"/>
        <v>96.8</v>
      </c>
      <c r="F8" s="6">
        <f t="shared" si="2"/>
        <v>96.8</v>
      </c>
      <c r="G8" s="6">
        <f t="shared" si="3"/>
        <v>96.8</v>
      </c>
      <c r="H8" s="5">
        <f t="shared" si="6"/>
        <v>0.28181818181818186</v>
      </c>
      <c r="I8">
        <f t="shared" si="4"/>
        <v>98.993293881286888</v>
      </c>
      <c r="J8">
        <f t="shared" si="5"/>
        <v>4.8105380496905159</v>
      </c>
    </row>
    <row r="9" spans="1:12" x14ac:dyDescent="0.3">
      <c r="A9">
        <v>7</v>
      </c>
      <c r="B9" s="2">
        <v>144.32</v>
      </c>
      <c r="C9" s="2">
        <v>106.48</v>
      </c>
      <c r="D9" s="6">
        <f t="shared" si="0"/>
        <v>144.32</v>
      </c>
      <c r="E9" s="6">
        <f t="shared" si="1"/>
        <v>144.32</v>
      </c>
      <c r="F9" s="6">
        <f t="shared" si="2"/>
        <v>144.32</v>
      </c>
      <c r="G9" s="6">
        <f t="shared" si="3"/>
        <v>144.32</v>
      </c>
      <c r="H9" s="5">
        <f t="shared" si="6"/>
        <v>0.26219512195121941</v>
      </c>
      <c r="I9">
        <f t="shared" si="4"/>
        <v>129.73936073141127</v>
      </c>
      <c r="J9">
        <f t="shared" si="5"/>
        <v>212.59504148071159</v>
      </c>
    </row>
    <row r="10" spans="1:12" x14ac:dyDescent="0.3">
      <c r="A10">
        <v>8</v>
      </c>
      <c r="B10" s="2">
        <v>182.16</v>
      </c>
      <c r="C10" s="2">
        <v>135.52000000000001</v>
      </c>
      <c r="D10" s="6">
        <f t="shared" si="0"/>
        <v>182.16</v>
      </c>
      <c r="E10" s="6">
        <f t="shared" si="1"/>
        <v>182.16</v>
      </c>
      <c r="F10" s="6">
        <f t="shared" si="2"/>
        <v>182.16</v>
      </c>
      <c r="G10" s="6">
        <f t="shared" si="3"/>
        <v>182.16</v>
      </c>
      <c r="H10" s="5">
        <f t="shared" si="6"/>
        <v>0.25603864734299508</v>
      </c>
      <c r="I10">
        <f t="shared" si="4"/>
        <v>163.20769786162015</v>
      </c>
      <c r="J10">
        <f t="shared" si="5"/>
        <v>359.1897563444374</v>
      </c>
    </row>
    <row r="11" spans="1:12" x14ac:dyDescent="0.3">
      <c r="A11">
        <v>9</v>
      </c>
      <c r="B11" s="2">
        <v>220.88</v>
      </c>
      <c r="C11" s="2">
        <v>156.64000000000001</v>
      </c>
      <c r="D11" s="6">
        <f t="shared" si="0"/>
        <v>220.88</v>
      </c>
      <c r="E11" s="6">
        <f t="shared" si="1"/>
        <v>220.88</v>
      </c>
      <c r="F11" s="6">
        <f t="shared" si="2"/>
        <v>220.88</v>
      </c>
      <c r="G11" s="6">
        <f t="shared" si="3"/>
        <v>220.88</v>
      </c>
      <c r="H11" s="5">
        <f t="shared" si="6"/>
        <v>0.29083665338645415</v>
      </c>
      <c r="I11">
        <f t="shared" si="4"/>
        <v>198.99544494870125</v>
      </c>
      <c r="J11">
        <f t="shared" si="5"/>
        <v>478.93374979332549</v>
      </c>
    </row>
    <row r="12" spans="1:12" x14ac:dyDescent="0.3">
      <c r="A12">
        <v>10</v>
      </c>
      <c r="B12" s="2">
        <v>259.60000000000002</v>
      </c>
      <c r="C12" s="2">
        <v>178.64000000000001</v>
      </c>
      <c r="D12" s="6">
        <f t="shared" si="0"/>
        <v>259.60000000000002</v>
      </c>
      <c r="E12" s="6">
        <f t="shared" si="1"/>
        <v>259.60000000000002</v>
      </c>
      <c r="F12" s="6">
        <f t="shared" si="2"/>
        <v>259.60000000000002</v>
      </c>
      <c r="G12" s="6">
        <f t="shared" si="3"/>
        <v>259.60000000000002</v>
      </c>
      <c r="H12" s="5">
        <f t="shared" si="6"/>
        <v>0.31186440677966099</v>
      </c>
      <c r="I12">
        <f t="shared" si="4"/>
        <v>236.73794860433679</v>
      </c>
      <c r="J12">
        <f t="shared" si="5"/>
        <v>522.67339401794698</v>
      </c>
    </row>
    <row r="13" spans="1:12" x14ac:dyDescent="0.3">
      <c r="A13">
        <v>11</v>
      </c>
      <c r="B13" s="2">
        <v>292.16000000000003</v>
      </c>
      <c r="C13" s="2">
        <v>200.64000000000001</v>
      </c>
      <c r="D13" s="6">
        <f t="shared" si="0"/>
        <v>292.16000000000003</v>
      </c>
      <c r="E13" s="6">
        <f t="shared" si="1"/>
        <v>292.16000000000003</v>
      </c>
      <c r="F13" s="6">
        <f t="shared" si="2"/>
        <v>292.16000000000003</v>
      </c>
      <c r="G13" s="6">
        <f t="shared" si="3"/>
        <v>292.16000000000003</v>
      </c>
      <c r="H13" s="5">
        <f t="shared" si="6"/>
        <v>0.31325301204819278</v>
      </c>
      <c r="I13">
        <f t="shared" si="4"/>
        <v>276.10556483668336</v>
      </c>
      <c r="J13">
        <f t="shared" si="5"/>
        <v>257.74488841313871</v>
      </c>
    </row>
    <row r="14" spans="1:12" x14ac:dyDescent="0.3">
      <c r="A14">
        <v>12</v>
      </c>
      <c r="B14" s="2">
        <v>328.24</v>
      </c>
      <c r="C14" s="2">
        <v>213.84</v>
      </c>
      <c r="D14" s="6">
        <f t="shared" si="0"/>
        <v>328.24</v>
      </c>
      <c r="E14" s="6">
        <f t="shared" si="1"/>
        <v>328.24</v>
      </c>
      <c r="F14" s="6">
        <f t="shared" si="2"/>
        <v>328.24</v>
      </c>
      <c r="G14" s="6">
        <f t="shared" si="3"/>
        <v>328.24</v>
      </c>
      <c r="H14" s="5">
        <f t="shared" si="6"/>
        <v>0.34852546916890081</v>
      </c>
      <c r="I14">
        <f t="shared" si="4"/>
        <v>316.80071588987948</v>
      </c>
      <c r="J14">
        <f t="shared" si="5"/>
        <v>130.85722095205594</v>
      </c>
    </row>
    <row r="15" spans="1:12" x14ac:dyDescent="0.3">
      <c r="A15">
        <v>13</v>
      </c>
      <c r="B15" s="2">
        <v>366.96</v>
      </c>
      <c r="C15" s="2">
        <v>227.92</v>
      </c>
      <c r="D15" s="6">
        <f t="shared" si="0"/>
        <v>366.96</v>
      </c>
      <c r="E15" s="6">
        <f t="shared" si="1"/>
        <v>366.96</v>
      </c>
      <c r="F15" s="6">
        <f t="shared" si="2"/>
        <v>366.96</v>
      </c>
      <c r="G15" s="6">
        <f t="shared" si="3"/>
        <v>366.96</v>
      </c>
      <c r="H15" s="5">
        <f t="shared" si="6"/>
        <v>0.37889688249400477</v>
      </c>
      <c r="I15">
        <f t="shared" si="4"/>
        <v>358.5551816898473</v>
      </c>
      <c r="J15">
        <f t="shared" si="5"/>
        <v>70.640970826677702</v>
      </c>
    </row>
    <row r="16" spans="1:12" x14ac:dyDescent="0.3">
      <c r="A16">
        <v>14</v>
      </c>
      <c r="B16" s="2">
        <v>408.32</v>
      </c>
      <c r="C16" s="2">
        <v>242.88</v>
      </c>
      <c r="D16" s="6">
        <f t="shared" si="0"/>
        <v>408.32</v>
      </c>
      <c r="E16" s="6">
        <f t="shared" si="1"/>
        <v>408.32</v>
      </c>
      <c r="F16" s="6">
        <f t="shared" si="2"/>
        <v>408.32</v>
      </c>
      <c r="G16" s="6">
        <f t="shared" si="3"/>
        <v>408.32</v>
      </c>
      <c r="H16" s="5">
        <f t="shared" si="6"/>
        <v>0.40517241379310343</v>
      </c>
      <c r="I16">
        <f t="shared" si="4"/>
        <v>401.12760764429066</v>
      </c>
      <c r="J16">
        <f t="shared" si="5"/>
        <v>51.730507798466007</v>
      </c>
    </row>
    <row r="17" spans="1:11" x14ac:dyDescent="0.3">
      <c r="A17">
        <v>15</v>
      </c>
      <c r="B17" s="2">
        <v>449.68</v>
      </c>
      <c r="C17" s="2">
        <v>257.83999999999997</v>
      </c>
      <c r="D17" s="6">
        <f t="shared" si="0"/>
        <v>449.68</v>
      </c>
      <c r="E17" s="6">
        <f t="shared" si="1"/>
        <v>449.68</v>
      </c>
      <c r="F17" s="6">
        <f t="shared" si="2"/>
        <v>449.68</v>
      </c>
      <c r="G17" s="6">
        <f t="shared" si="3"/>
        <v>449.68</v>
      </c>
      <c r="H17" s="5">
        <f t="shared" si="6"/>
        <v>0.42661448140900204</v>
      </c>
      <c r="I17">
        <f t="shared" si="4"/>
        <v>444.30121194820737</v>
      </c>
      <c r="J17">
        <f t="shared" si="5"/>
        <v>28.931360906107258</v>
      </c>
    </row>
    <row r="18" spans="1:11" x14ac:dyDescent="0.3">
      <c r="A18">
        <v>16</v>
      </c>
      <c r="B18" s="2">
        <v>492.8</v>
      </c>
      <c r="C18" s="2">
        <v>273.68</v>
      </c>
      <c r="D18" s="6">
        <f t="shared" si="0"/>
        <v>492.8</v>
      </c>
      <c r="E18" s="6">
        <f t="shared" si="1"/>
        <v>492.8</v>
      </c>
      <c r="F18" s="6">
        <f t="shared" si="2"/>
        <v>492.8</v>
      </c>
      <c r="G18" s="6">
        <f t="shared" si="3"/>
        <v>492.8</v>
      </c>
      <c r="H18" s="5">
        <f t="shared" si="6"/>
        <v>0.44464285714285712</v>
      </c>
      <c r="I18">
        <f t="shared" si="4"/>
        <v>487.88167684235907</v>
      </c>
      <c r="J18">
        <f t="shared" si="5"/>
        <v>24.18990268298716</v>
      </c>
    </row>
    <row r="19" spans="1:11" x14ac:dyDescent="0.3">
      <c r="A19">
        <v>17</v>
      </c>
      <c r="B19" s="2">
        <v>535.91999999999996</v>
      </c>
      <c r="C19" s="2">
        <v>289.52</v>
      </c>
      <c r="D19" s="6">
        <f t="shared" si="0"/>
        <v>535.91999999999996</v>
      </c>
      <c r="E19" s="6">
        <f t="shared" si="1"/>
        <v>535.91999999999996</v>
      </c>
      <c r="F19" s="6">
        <f>F18</f>
        <v>492.8</v>
      </c>
      <c r="G19" s="6">
        <f t="shared" si="3"/>
        <v>535.91999999999996</v>
      </c>
      <c r="H19" s="5">
        <f t="shared" si="6"/>
        <v>0.45977011494252873</v>
      </c>
      <c r="I19">
        <f t="shared" si="4"/>
        <v>531.69520946916953</v>
      </c>
      <c r="J19">
        <f t="shared" si="5"/>
        <v>17.848855029394489</v>
      </c>
    </row>
    <row r="20" spans="1:11" x14ac:dyDescent="0.3">
      <c r="A20">
        <v>18</v>
      </c>
      <c r="B20" s="2">
        <v>579.04</v>
      </c>
      <c r="C20" s="2">
        <v>304.48</v>
      </c>
      <c r="D20" s="6">
        <f t="shared" si="0"/>
        <v>579.04</v>
      </c>
      <c r="E20" s="6">
        <f t="shared" si="1"/>
        <v>579.04</v>
      </c>
      <c r="F20" s="6">
        <f t="shared" ref="F20:F52" si="7">F19</f>
        <v>492.8</v>
      </c>
      <c r="G20" s="6">
        <f t="shared" si="3"/>
        <v>579.04</v>
      </c>
      <c r="H20" s="5">
        <f t="shared" si="6"/>
        <v>0.47416413373860178</v>
      </c>
      <c r="I20">
        <f t="shared" si="4"/>
        <v>575.58675907599195</v>
      </c>
      <c r="J20">
        <f t="shared" si="5"/>
        <v>11.924872879243724</v>
      </c>
    </row>
    <row r="21" spans="1:11" x14ac:dyDescent="0.3">
      <c r="A21">
        <v>19</v>
      </c>
      <c r="B21" s="2">
        <v>622.16</v>
      </c>
      <c r="C21" s="2">
        <v>319.44</v>
      </c>
      <c r="D21" s="6">
        <f t="shared" si="0"/>
        <v>622.16</v>
      </c>
      <c r="E21" s="6">
        <f t="shared" si="1"/>
        <v>622.16</v>
      </c>
      <c r="F21" s="6">
        <f t="shared" si="7"/>
        <v>492.8</v>
      </c>
      <c r="G21" s="6">
        <f t="shared" si="3"/>
        <v>622.16</v>
      </c>
      <c r="H21" s="5">
        <f t="shared" si="6"/>
        <v>0.48656294200848649</v>
      </c>
      <c r="I21">
        <f t="shared" si="4"/>
        <v>619.41837833660145</v>
      </c>
      <c r="J21">
        <f t="shared" si="5"/>
        <v>7.5164893452160602</v>
      </c>
    </row>
    <row r="22" spans="1:11" x14ac:dyDescent="0.3">
      <c r="A22">
        <v>20</v>
      </c>
      <c r="B22" s="2">
        <v>664.4</v>
      </c>
      <c r="C22" s="2">
        <v>334.4</v>
      </c>
      <c r="D22" s="6">
        <f t="shared" si="0"/>
        <v>664.4</v>
      </c>
      <c r="E22" s="6">
        <f t="shared" si="1"/>
        <v>664.4</v>
      </c>
      <c r="F22" s="6">
        <f t="shared" si="7"/>
        <v>492.8</v>
      </c>
      <c r="G22" s="6">
        <f t="shared" si="3"/>
        <v>664.4</v>
      </c>
      <c r="H22" s="5">
        <f t="shared" si="6"/>
        <v>0.49668874172185429</v>
      </c>
      <c r="I22">
        <f t="shared" si="4"/>
        <v>663.06771750453436</v>
      </c>
      <c r="J22">
        <f t="shared" si="5"/>
        <v>1.7749766477240994</v>
      </c>
    </row>
    <row r="23" spans="1:11" x14ac:dyDescent="0.3">
      <c r="A23">
        <v>21</v>
      </c>
      <c r="B23" s="2">
        <v>706.64</v>
      </c>
      <c r="C23" s="2">
        <v>348.48</v>
      </c>
      <c r="D23" s="6">
        <f t="shared" si="0"/>
        <v>706.64</v>
      </c>
      <c r="E23" s="6">
        <f t="shared" si="1"/>
        <v>706.64</v>
      </c>
      <c r="F23" s="6">
        <f t="shared" si="7"/>
        <v>492.8</v>
      </c>
      <c r="G23" s="6">
        <f t="shared" si="3"/>
        <v>706.64</v>
      </c>
      <c r="H23" s="5">
        <f t="shared" si="6"/>
        <v>0.50684931506849318</v>
      </c>
      <c r="I23">
        <f t="shared" si="4"/>
        <v>706.42664098253658</v>
      </c>
      <c r="J23">
        <f t="shared" si="5"/>
        <v>4.5522070332949E-2</v>
      </c>
    </row>
    <row r="24" spans="1:11" x14ac:dyDescent="0.3">
      <c r="A24">
        <v>22</v>
      </c>
      <c r="B24" s="2">
        <v>748</v>
      </c>
      <c r="C24" s="2">
        <v>363.44</v>
      </c>
      <c r="D24" s="6">
        <f t="shared" si="0"/>
        <v>748</v>
      </c>
      <c r="E24" s="6">
        <f t="shared" si="1"/>
        <v>748</v>
      </c>
      <c r="F24" s="6">
        <f t="shared" si="7"/>
        <v>492.8</v>
      </c>
      <c r="G24" s="6">
        <f t="shared" si="3"/>
        <v>748</v>
      </c>
      <c r="H24" s="5">
        <f t="shared" si="6"/>
        <v>0.51411764705882357</v>
      </c>
      <c r="I24">
        <f t="shared" si="4"/>
        <v>749.39995669631935</v>
      </c>
      <c r="J24">
        <f t="shared" si="5"/>
        <v>1.9598787515693892</v>
      </c>
    </row>
    <row r="25" spans="1:11" x14ac:dyDescent="0.3">
      <c r="A25">
        <v>23</v>
      </c>
      <c r="B25" s="2">
        <v>789.36</v>
      </c>
      <c r="C25" s="2">
        <v>377.52</v>
      </c>
      <c r="D25" s="6">
        <f t="shared" si="0"/>
        <v>789.36</v>
      </c>
      <c r="E25" s="6">
        <f t="shared" si="1"/>
        <v>789.36</v>
      </c>
      <c r="F25" s="6">
        <f t="shared" si="7"/>
        <v>492.8</v>
      </c>
      <c r="G25" s="6">
        <f t="shared" si="3"/>
        <v>789.36</v>
      </c>
      <c r="H25" s="5">
        <f t="shared" si="6"/>
        <v>0.52173913043478271</v>
      </c>
      <c r="I25">
        <f t="shared" si="4"/>
        <v>791.90424940322259</v>
      </c>
      <c r="J25">
        <f t="shared" si="5"/>
        <v>6.4732050257984524</v>
      </c>
    </row>
    <row r="26" spans="1:11" x14ac:dyDescent="0.3">
      <c r="A26">
        <v>24</v>
      </c>
      <c r="B26" s="2">
        <v>830.72</v>
      </c>
      <c r="C26" s="2">
        <v>391.6</v>
      </c>
      <c r="D26" s="6">
        <f t="shared" si="0"/>
        <v>830.72</v>
      </c>
      <c r="E26" s="6">
        <f t="shared" si="1"/>
        <v>830.72</v>
      </c>
      <c r="F26" s="6">
        <f t="shared" si="7"/>
        <v>492.8</v>
      </c>
      <c r="G26" s="6">
        <f t="shared" si="3"/>
        <v>830.72</v>
      </c>
      <c r="H26" s="5">
        <f t="shared" si="6"/>
        <v>0.52860169491525422</v>
      </c>
      <c r="I26">
        <f t="shared" si="4"/>
        <v>833.86680975187892</v>
      </c>
      <c r="J26">
        <f t="shared" si="5"/>
        <v>9.9024116145200871</v>
      </c>
    </row>
    <row r="27" spans="1:11" x14ac:dyDescent="0.3">
      <c r="A27">
        <v>25</v>
      </c>
      <c r="B27" s="2">
        <v>871.2</v>
      </c>
      <c r="C27" s="2">
        <v>406.56</v>
      </c>
      <c r="D27" s="6">
        <f t="shared" si="0"/>
        <v>871.2</v>
      </c>
      <c r="E27" s="6">
        <f t="shared" si="1"/>
        <v>871.2</v>
      </c>
      <c r="F27" s="6">
        <f t="shared" si="7"/>
        <v>492.8</v>
      </c>
      <c r="G27" s="6">
        <f t="shared" si="3"/>
        <v>871.2</v>
      </c>
      <c r="H27" s="5">
        <f t="shared" si="6"/>
        <v>0.53333333333333344</v>
      </c>
      <c r="I27">
        <f t="shared" si="4"/>
        <v>875.22465154194163</v>
      </c>
      <c r="J27">
        <f t="shared" si="5"/>
        <v>16.197820034052739</v>
      </c>
    </row>
    <row r="28" spans="1:11" x14ac:dyDescent="0.3">
      <c r="A28">
        <v>26</v>
      </c>
      <c r="B28" s="2">
        <v>911.68</v>
      </c>
      <c r="C28" s="2">
        <v>419.76</v>
      </c>
      <c r="D28" s="6">
        <f t="shared" si="0"/>
        <v>911.68</v>
      </c>
      <c r="E28" s="6">
        <f t="shared" si="1"/>
        <v>911.68</v>
      </c>
      <c r="F28" s="6">
        <f t="shared" si="7"/>
        <v>492.8</v>
      </c>
      <c r="G28" s="6">
        <f t="shared" si="3"/>
        <v>911.68</v>
      </c>
      <c r="H28" s="5">
        <f t="shared" si="6"/>
        <v>0.53957528957528955</v>
      </c>
      <c r="I28">
        <f t="shared" si="4"/>
        <v>915.92361021738816</v>
      </c>
      <c r="J28">
        <f t="shared" si="5"/>
        <v>18.008227677121603</v>
      </c>
    </row>
    <row r="29" spans="1:11" x14ac:dyDescent="0.3">
      <c r="A29">
        <v>27</v>
      </c>
      <c r="B29" s="2">
        <v>951.28</v>
      </c>
      <c r="C29" s="2">
        <v>433.84</v>
      </c>
      <c r="D29" s="6">
        <f t="shared" si="0"/>
        <v>951.28</v>
      </c>
      <c r="E29" s="6">
        <f t="shared" si="1"/>
        <v>951.28</v>
      </c>
      <c r="F29" s="6">
        <f t="shared" si="7"/>
        <v>492.8</v>
      </c>
      <c r="G29" s="6">
        <f t="shared" si="3"/>
        <v>951.28</v>
      </c>
      <c r="H29" s="5">
        <f t="shared" si="6"/>
        <v>0.54394079555966701</v>
      </c>
      <c r="I29">
        <f t="shared" si="4"/>
        <v>955.91751616651379</v>
      </c>
      <c r="J29">
        <f t="shared" si="5"/>
        <v>21.506556194677032</v>
      </c>
    </row>
    <row r="30" spans="1:11" x14ac:dyDescent="0.3">
      <c r="A30">
        <v>28</v>
      </c>
      <c r="B30" s="2">
        <v>990.88</v>
      </c>
      <c r="C30" s="2">
        <v>447.92</v>
      </c>
      <c r="D30" s="6">
        <f>C30</f>
        <v>447.92</v>
      </c>
      <c r="E30" s="6">
        <f>D30+B2</f>
        <v>447.92</v>
      </c>
      <c r="F30" s="6">
        <f t="shared" si="7"/>
        <v>492.8</v>
      </c>
      <c r="G30" s="6">
        <f t="shared" si="3"/>
        <v>990.88</v>
      </c>
      <c r="H30" s="5">
        <f t="shared" si="6"/>
        <v>0.54795737122557719</v>
      </c>
      <c r="I30">
        <f t="shared" si="4"/>
        <v>995.16743689995258</v>
      </c>
      <c r="J30">
        <f t="shared" si="5"/>
        <v>18.382115171075</v>
      </c>
    </row>
    <row r="31" spans="1:11" x14ac:dyDescent="0.3">
      <c r="A31">
        <v>29</v>
      </c>
      <c r="B31" s="2">
        <v>1028.72</v>
      </c>
      <c r="C31" s="2">
        <v>461.12</v>
      </c>
      <c r="D31" s="6">
        <f>D30-C$30/10</f>
        <v>403.12800000000004</v>
      </c>
      <c r="E31" s="6">
        <f t="shared" ref="E31:E52" si="8">D31+B3</f>
        <v>403.48370308063312</v>
      </c>
      <c r="F31" s="6">
        <f t="shared" si="7"/>
        <v>492.8</v>
      </c>
      <c r="G31" s="6">
        <f t="shared" si="3"/>
        <v>1028.72</v>
      </c>
      <c r="H31" s="5">
        <f t="shared" si="6"/>
        <v>0.5517536355859709</v>
      </c>
      <c r="I31">
        <f t="shared" si="4"/>
        <v>1033.6409826380334</v>
      </c>
      <c r="J31">
        <f t="shared" si="5"/>
        <v>24.216070123825819</v>
      </c>
      <c r="K31" s="1"/>
    </row>
    <row r="32" spans="1:11" x14ac:dyDescent="0.3">
      <c r="A32">
        <v>30</v>
      </c>
      <c r="B32" s="2">
        <v>1066.56</v>
      </c>
      <c r="C32" s="2">
        <v>473.44</v>
      </c>
      <c r="D32" s="6">
        <f t="shared" ref="D32:D41" si="9">D31-C$30/10</f>
        <v>358.33600000000001</v>
      </c>
      <c r="E32" s="6">
        <f t="shared" si="8"/>
        <v>360.096</v>
      </c>
      <c r="F32" s="6">
        <f t="shared" si="7"/>
        <v>492.8</v>
      </c>
      <c r="G32" s="6">
        <f t="shared" si="3"/>
        <v>1066.56</v>
      </c>
      <c r="H32" s="5">
        <f t="shared" si="6"/>
        <v>0.55610561056105601</v>
      </c>
      <c r="I32">
        <f t="shared" si="4"/>
        <v>1071.3116702634447</v>
      </c>
      <c r="J32">
        <f t="shared" si="5"/>
        <v>22.578370292505515</v>
      </c>
    </row>
    <row r="33" spans="1:10" x14ac:dyDescent="0.3">
      <c r="A33">
        <v>31</v>
      </c>
      <c r="B33" s="2">
        <v>1103.52</v>
      </c>
      <c r="C33" s="2">
        <v>486.64</v>
      </c>
      <c r="D33" s="6">
        <f t="shared" si="9"/>
        <v>313.54399999999998</v>
      </c>
      <c r="E33" s="6">
        <f t="shared" si="8"/>
        <v>318.82399999999996</v>
      </c>
      <c r="F33" s="6">
        <f t="shared" si="7"/>
        <v>492.8</v>
      </c>
      <c r="G33" s="6">
        <f t="shared" si="3"/>
        <v>1103.52</v>
      </c>
      <c r="H33" s="5">
        <f t="shared" si="6"/>
        <v>0.55901116427432218</v>
      </c>
      <c r="I33">
        <f t="shared" si="4"/>
        <v>1108.1583409871894</v>
      </c>
      <c r="J33">
        <f t="shared" si="5"/>
        <v>21.514207113441088</v>
      </c>
    </row>
    <row r="34" spans="1:10" x14ac:dyDescent="0.3">
      <c r="A34">
        <v>32</v>
      </c>
      <c r="B34" s="2">
        <v>1139.5999999999999</v>
      </c>
      <c r="C34" s="2">
        <v>498.96</v>
      </c>
      <c r="D34" s="6">
        <f t="shared" si="9"/>
        <v>268.75199999999995</v>
      </c>
      <c r="E34" s="6">
        <f t="shared" si="8"/>
        <v>291.63199999999995</v>
      </c>
      <c r="F34" s="6">
        <f t="shared" si="7"/>
        <v>492.8</v>
      </c>
      <c r="G34" s="6">
        <f t="shared" si="3"/>
        <v>1139.5999999999999</v>
      </c>
      <c r="H34" s="5">
        <f t="shared" si="6"/>
        <v>0.56216216216216219</v>
      </c>
      <c r="I34">
        <f t="shared" si="4"/>
        <v>1144.164627437749</v>
      </c>
      <c r="J34">
        <f t="shared" si="5"/>
        <v>20.835823645451871</v>
      </c>
    </row>
    <row r="35" spans="1:10" x14ac:dyDescent="0.3">
      <c r="A35">
        <v>33</v>
      </c>
      <c r="B35" s="2">
        <v>1173.92</v>
      </c>
      <c r="C35" s="2">
        <v>510.4</v>
      </c>
      <c r="D35" s="6">
        <f t="shared" si="9"/>
        <v>223.95999999999995</v>
      </c>
      <c r="E35" s="6">
        <f t="shared" si="8"/>
        <v>276.75999999999993</v>
      </c>
      <c r="F35" s="6">
        <f t="shared" si="7"/>
        <v>492.8</v>
      </c>
      <c r="G35" s="6">
        <f t="shared" si="3"/>
        <v>1173.92</v>
      </c>
      <c r="H35" s="5">
        <f t="shared" si="6"/>
        <v>0.56521739130434789</v>
      </c>
      <c r="I35">
        <f t="shared" si="4"/>
        <v>1179.3184662174228</v>
      </c>
      <c r="J35">
        <f t="shared" si="5"/>
        <v>29.143437500654858</v>
      </c>
    </row>
    <row r="36" spans="1:10" x14ac:dyDescent="0.3">
      <c r="A36">
        <v>34</v>
      </c>
      <c r="B36" s="2">
        <v>1208.24</v>
      </c>
      <c r="C36" s="2">
        <v>521.84</v>
      </c>
      <c r="D36" s="6">
        <f t="shared" si="9"/>
        <v>179.16799999999995</v>
      </c>
      <c r="E36" s="6">
        <f t="shared" si="8"/>
        <v>275.96799999999996</v>
      </c>
      <c r="F36" s="6">
        <f t="shared" si="7"/>
        <v>492.8</v>
      </c>
      <c r="G36" s="6">
        <f t="shared" si="3"/>
        <v>1208.24</v>
      </c>
      <c r="H36" s="5">
        <f t="shared" si="6"/>
        <v>0.56809905316824472</v>
      </c>
      <c r="I36">
        <f t="shared" si="4"/>
        <v>1213.6116522782097</v>
      </c>
      <c r="J36">
        <f t="shared" si="5"/>
        <v>28.854648197995402</v>
      </c>
    </row>
    <row r="37" spans="1:10" x14ac:dyDescent="0.3">
      <c r="A37">
        <v>35</v>
      </c>
      <c r="B37" s="2">
        <v>1241.68</v>
      </c>
      <c r="C37" s="2">
        <v>533.28</v>
      </c>
      <c r="D37" s="6">
        <f t="shared" si="9"/>
        <v>134.37599999999995</v>
      </c>
      <c r="E37" s="6">
        <f t="shared" si="8"/>
        <v>278.69599999999991</v>
      </c>
      <c r="F37" s="6">
        <f t="shared" si="7"/>
        <v>492.8</v>
      </c>
      <c r="G37" s="6">
        <f t="shared" si="3"/>
        <v>1241.68</v>
      </c>
      <c r="H37" s="5">
        <f t="shared" si="6"/>
        <v>0.57051736357193483</v>
      </c>
      <c r="I37">
        <f t="shared" si="4"/>
        <v>1247.0394317542336</v>
      </c>
      <c r="J37">
        <f t="shared" si="5"/>
        <v>28.723508728287261</v>
      </c>
    </row>
    <row r="38" spans="1:10" x14ac:dyDescent="0.3">
      <c r="A38">
        <v>36</v>
      </c>
      <c r="B38" s="2">
        <v>1273.3599999999999</v>
      </c>
      <c r="C38" s="2">
        <v>544.72</v>
      </c>
      <c r="D38" s="6">
        <f t="shared" si="9"/>
        <v>89.583999999999946</v>
      </c>
      <c r="E38" s="6">
        <f t="shared" si="8"/>
        <v>271.74399999999991</v>
      </c>
      <c r="F38" s="6">
        <f t="shared" si="7"/>
        <v>492.8</v>
      </c>
      <c r="G38" s="6">
        <f t="shared" si="3"/>
        <v>1273.3599999999999</v>
      </c>
      <c r="H38" s="5">
        <f t="shared" si="6"/>
        <v>0.57221838286109183</v>
      </c>
      <c r="I38">
        <f t="shared" si="4"/>
        <v>1279.6001301504357</v>
      </c>
      <c r="J38">
        <f t="shared" si="5"/>
        <v>38.93922429437778</v>
      </c>
    </row>
    <row r="39" spans="1:10" x14ac:dyDescent="0.3">
      <c r="A39">
        <v>37</v>
      </c>
      <c r="B39" s="2">
        <v>1305.04</v>
      </c>
      <c r="C39" s="2">
        <v>555.28</v>
      </c>
      <c r="D39" s="6">
        <f t="shared" si="9"/>
        <v>44.791999999999945</v>
      </c>
      <c r="E39" s="6">
        <f t="shared" si="8"/>
        <v>265.67199999999991</v>
      </c>
      <c r="F39" s="6">
        <f t="shared" si="7"/>
        <v>492.8</v>
      </c>
      <c r="G39" s="6">
        <f t="shared" si="3"/>
        <v>1305.04</v>
      </c>
      <c r="H39" s="5">
        <f t="shared" si="6"/>
        <v>0.57451112609575183</v>
      </c>
      <c r="I39">
        <f t="shared" si="4"/>
        <v>1311.2948130297546</v>
      </c>
      <c r="J39">
        <f t="shared" si="5"/>
        <v>39.122686037187755</v>
      </c>
    </row>
    <row r="40" spans="1:10" x14ac:dyDescent="0.3">
      <c r="A40">
        <v>38</v>
      </c>
      <c r="B40" s="2">
        <v>1336.72</v>
      </c>
      <c r="C40" s="2">
        <v>565.84</v>
      </c>
      <c r="D40" s="6">
        <f t="shared" si="9"/>
        <v>-5.6843418860808015E-14</v>
      </c>
      <c r="E40" s="6">
        <f t="shared" si="8"/>
        <v>259.59999999999997</v>
      </c>
      <c r="F40" s="6">
        <f t="shared" si="7"/>
        <v>492.8</v>
      </c>
      <c r="G40" s="6">
        <f t="shared" si="3"/>
        <v>1336.72</v>
      </c>
      <c r="H40" s="5">
        <f t="shared" si="6"/>
        <v>0.57669519420671489</v>
      </c>
      <c r="I40">
        <f t="shared" si="4"/>
        <v>1342.1269765647878</v>
      </c>
      <c r="J40">
        <f t="shared" si="5"/>
        <v>29.235395572164293</v>
      </c>
    </row>
    <row r="41" spans="1:10" x14ac:dyDescent="0.3">
      <c r="A41">
        <v>39</v>
      </c>
      <c r="B41" s="2">
        <v>1366.64</v>
      </c>
      <c r="C41" s="2">
        <v>576.4</v>
      </c>
      <c r="D41" s="6">
        <v>0</v>
      </c>
      <c r="E41" s="6">
        <f t="shared" si="8"/>
        <v>292.16000000000003</v>
      </c>
      <c r="F41" s="6">
        <f t="shared" si="7"/>
        <v>492.8</v>
      </c>
      <c r="G41" s="6">
        <f t="shared" si="3"/>
        <v>1366.64</v>
      </c>
      <c r="H41" s="5">
        <f t="shared" si="6"/>
        <v>0.57823567289117839</v>
      </c>
      <c r="I41">
        <f t="shared" si="4"/>
        <v>1372.1022655264685</v>
      </c>
      <c r="J41">
        <f t="shared" si="5"/>
        <v>29.836344681645105</v>
      </c>
    </row>
    <row r="42" spans="1:10" x14ac:dyDescent="0.3">
      <c r="A42">
        <v>40</v>
      </c>
      <c r="B42" s="2">
        <v>1396.56</v>
      </c>
      <c r="C42" s="2">
        <v>586.08000000000004</v>
      </c>
      <c r="D42" s="6">
        <v>0</v>
      </c>
      <c r="E42" s="6">
        <f t="shared" si="8"/>
        <v>328.24</v>
      </c>
      <c r="F42" s="6">
        <f t="shared" si="7"/>
        <v>492.8</v>
      </c>
      <c r="G42" s="6">
        <f t="shared" si="3"/>
        <v>1396.56</v>
      </c>
      <c r="H42" s="5">
        <f t="shared" si="6"/>
        <v>0.58034026465028354</v>
      </c>
      <c r="I42">
        <f t="shared" si="4"/>
        <v>1401.2282164728699</v>
      </c>
      <c r="J42">
        <f t="shared" si="5"/>
        <v>21.79224503757456</v>
      </c>
    </row>
    <row r="43" spans="1:10" x14ac:dyDescent="0.3">
      <c r="A43">
        <v>41</v>
      </c>
      <c r="B43" s="2">
        <v>1426.48</v>
      </c>
      <c r="C43" s="2">
        <v>596.64</v>
      </c>
      <c r="D43" s="6">
        <v>0</v>
      </c>
      <c r="E43" s="6">
        <f t="shared" si="8"/>
        <v>366.96</v>
      </c>
      <c r="F43" s="6">
        <f t="shared" si="7"/>
        <v>492.8</v>
      </c>
      <c r="G43" s="6">
        <f t="shared" si="3"/>
        <v>1426.48</v>
      </c>
      <c r="H43" s="5">
        <f t="shared" si="6"/>
        <v>0.58173966687230105</v>
      </c>
      <c r="I43">
        <f t="shared" si="4"/>
        <v>1429.5140240771232</v>
      </c>
      <c r="J43">
        <f t="shared" si="5"/>
        <v>9.205302100562978</v>
      </c>
    </row>
    <row r="44" spans="1:10" x14ac:dyDescent="0.3">
      <c r="A44">
        <v>42</v>
      </c>
      <c r="B44" s="2">
        <v>1455.52</v>
      </c>
      <c r="C44" s="2">
        <v>606.32000000000005</v>
      </c>
      <c r="D44" s="6">
        <v>0</v>
      </c>
      <c r="E44" s="6">
        <f t="shared" si="8"/>
        <v>408.32</v>
      </c>
      <c r="F44" s="6">
        <f t="shared" si="7"/>
        <v>492.8</v>
      </c>
      <c r="G44" s="6">
        <f t="shared" si="3"/>
        <v>1455.52</v>
      </c>
      <c r="H44" s="5">
        <f t="shared" si="6"/>
        <v>0.58343409915356714</v>
      </c>
      <c r="I44">
        <f t="shared" si="4"/>
        <v>1456.9703286957026</v>
      </c>
      <c r="J44">
        <f t="shared" si="5"/>
        <v>2.1034533255785139</v>
      </c>
    </row>
    <row r="45" spans="1:10" x14ac:dyDescent="0.3">
      <c r="A45">
        <v>43</v>
      </c>
      <c r="B45" s="2">
        <v>1483.68</v>
      </c>
      <c r="C45" s="2">
        <v>616</v>
      </c>
      <c r="D45" s="6">
        <v>0</v>
      </c>
      <c r="E45" s="6">
        <f t="shared" si="8"/>
        <v>449.68</v>
      </c>
      <c r="F45" s="6">
        <f t="shared" si="7"/>
        <v>492.8</v>
      </c>
      <c r="G45" s="6">
        <f t="shared" si="3"/>
        <v>1483.68</v>
      </c>
      <c r="H45" s="5">
        <f t="shared" si="6"/>
        <v>0.58481613285883749</v>
      </c>
      <c r="I45">
        <f t="shared" si="4"/>
        <v>1483.6090234280678</v>
      </c>
      <c r="J45">
        <f t="shared" si="5"/>
        <v>5.0376737632617918E-3</v>
      </c>
    </row>
    <row r="46" spans="1:10" x14ac:dyDescent="0.3">
      <c r="A46">
        <v>44</v>
      </c>
      <c r="B46" s="2">
        <v>1510.96</v>
      </c>
      <c r="C46" s="2">
        <v>624.79999999999995</v>
      </c>
      <c r="D46" s="6">
        <v>0</v>
      </c>
      <c r="E46" s="6">
        <f t="shared" si="8"/>
        <v>492.8</v>
      </c>
      <c r="F46" s="6">
        <f t="shared" si="7"/>
        <v>492.8</v>
      </c>
      <c r="G46" s="6">
        <f t="shared" si="3"/>
        <v>1510.96</v>
      </c>
      <c r="H46" s="5">
        <f t="shared" si="6"/>
        <v>0.58648806057076297</v>
      </c>
      <c r="I46">
        <f t="shared" si="4"/>
        <v>1509.4430790567667</v>
      </c>
      <c r="J46">
        <f t="shared" si="5"/>
        <v>2.3010491480199398</v>
      </c>
    </row>
    <row r="47" spans="1:10" x14ac:dyDescent="0.3">
      <c r="A47">
        <v>45</v>
      </c>
      <c r="B47" s="2">
        <v>1537.36</v>
      </c>
      <c r="C47" s="2">
        <v>633.6</v>
      </c>
      <c r="D47" s="6">
        <v>0</v>
      </c>
      <c r="E47" s="6">
        <f t="shared" si="8"/>
        <v>535.91999999999996</v>
      </c>
      <c r="F47" s="6">
        <f t="shared" si="7"/>
        <v>492.8</v>
      </c>
      <c r="G47" s="6">
        <f t="shared" si="3"/>
        <v>1537.36</v>
      </c>
      <c r="H47" s="5">
        <f t="shared" si="6"/>
        <v>0.58786491127647389</v>
      </c>
      <c r="I47">
        <f t="shared" si="4"/>
        <v>1534.4863853845723</v>
      </c>
      <c r="J47">
        <f t="shared" si="5"/>
        <v>8.2576609579993505</v>
      </c>
    </row>
    <row r="48" spans="1:10" x14ac:dyDescent="0.3">
      <c r="A48">
        <v>46</v>
      </c>
      <c r="B48" s="2">
        <v>1562.88</v>
      </c>
      <c r="C48" s="2">
        <v>642.4</v>
      </c>
      <c r="D48" s="6">
        <v>0</v>
      </c>
      <c r="E48" s="6">
        <f t="shared" si="8"/>
        <v>579.04</v>
      </c>
      <c r="F48" s="6">
        <f t="shared" si="7"/>
        <v>492.8</v>
      </c>
      <c r="G48" s="6">
        <f t="shared" si="3"/>
        <v>1562.88</v>
      </c>
      <c r="H48" s="5">
        <f t="shared" si="6"/>
        <v>0.588963963963964</v>
      </c>
      <c r="I48">
        <f t="shared" si="4"/>
        <v>1558.7536076027477</v>
      </c>
      <c r="J48">
        <f t="shared" si="5"/>
        <v>17.027114216102429</v>
      </c>
    </row>
    <row r="49" spans="1:10" x14ac:dyDescent="0.3">
      <c r="A49">
        <v>47</v>
      </c>
      <c r="B49" s="2">
        <v>1588.4</v>
      </c>
      <c r="C49" s="2">
        <v>651.20000000000005</v>
      </c>
      <c r="D49" s="6">
        <v>0</v>
      </c>
      <c r="E49" s="6">
        <f t="shared" si="8"/>
        <v>622.16</v>
      </c>
      <c r="F49" s="6">
        <f t="shared" si="7"/>
        <v>492.8</v>
      </c>
      <c r="G49" s="6">
        <f t="shared" si="3"/>
        <v>1588.4</v>
      </c>
      <c r="H49" s="5">
        <f t="shared" si="6"/>
        <v>0.59002770083102485</v>
      </c>
      <c r="I49">
        <f t="shared" si="4"/>
        <v>1582.260056433006</v>
      </c>
      <c r="J49">
        <f t="shared" si="5"/>
        <v>37.698907005872648</v>
      </c>
    </row>
    <row r="50" spans="1:10" x14ac:dyDescent="0.3">
      <c r="A50">
        <v>48</v>
      </c>
      <c r="B50" s="2">
        <v>1612.16</v>
      </c>
      <c r="C50" s="2">
        <v>659.12</v>
      </c>
      <c r="D50" s="6">
        <v>0</v>
      </c>
      <c r="E50" s="6">
        <f t="shared" si="8"/>
        <v>664.4</v>
      </c>
      <c r="F50" s="6">
        <f t="shared" si="7"/>
        <v>492.8</v>
      </c>
      <c r="G50" s="6">
        <f t="shared" si="3"/>
        <v>1612.16</v>
      </c>
      <c r="H50" s="5">
        <f t="shared" si="6"/>
        <v>0.59115720524017468</v>
      </c>
      <c r="I50">
        <f t="shared" si="4"/>
        <v>1605.0215708857238</v>
      </c>
      <c r="J50">
        <f t="shared" si="5"/>
        <v>50.957170219547201</v>
      </c>
    </row>
    <row r="51" spans="1:10" x14ac:dyDescent="0.3">
      <c r="A51">
        <v>49</v>
      </c>
      <c r="B51" s="2">
        <v>1636.8</v>
      </c>
      <c r="C51" s="2">
        <v>667.04</v>
      </c>
      <c r="D51" s="6">
        <v>0</v>
      </c>
      <c r="E51" s="6">
        <f t="shared" si="8"/>
        <v>706.64</v>
      </c>
      <c r="F51" s="6">
        <f t="shared" si="7"/>
        <v>492.8</v>
      </c>
      <c r="G51" s="6">
        <f t="shared" si="3"/>
        <v>1636.8</v>
      </c>
      <c r="H51" s="5">
        <f t="shared" si="6"/>
        <v>0.59247311827956994</v>
      </c>
      <c r="I51">
        <f t="shared" si="4"/>
        <v>1627.0544125692202</v>
      </c>
      <c r="J51">
        <f t="shared" si="5"/>
        <v>94.976474370972809</v>
      </c>
    </row>
    <row r="52" spans="1:10" x14ac:dyDescent="0.3">
      <c r="A52">
        <v>50</v>
      </c>
      <c r="B52" s="4">
        <v>1659.68</v>
      </c>
      <c r="C52" s="4">
        <v>674.96</v>
      </c>
      <c r="D52" s="6">
        <v>0</v>
      </c>
      <c r="E52" s="6">
        <f t="shared" si="8"/>
        <v>748</v>
      </c>
      <c r="F52" s="6">
        <f t="shared" si="7"/>
        <v>492.8</v>
      </c>
      <c r="G52" s="6">
        <f t="shared" si="3"/>
        <v>1659.68</v>
      </c>
      <c r="H52" s="5">
        <f t="shared" si="6"/>
        <v>0.59331919406150591</v>
      </c>
      <c r="I52">
        <f t="shared" si="4"/>
        <v>1648.3751705699922</v>
      </c>
      <c r="J52">
        <f t="shared" si="5"/>
        <v>127.79916844157241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EA07-7293-4875-9EB3-AA028EBE4F11}">
  <dimension ref="A1:X90"/>
  <sheetViews>
    <sheetView showGridLines="0" workbookViewId="0">
      <selection activeCell="B27" sqref="B27"/>
    </sheetView>
  </sheetViews>
  <sheetFormatPr defaultRowHeight="14.4" x14ac:dyDescent="0.3"/>
  <cols>
    <col min="3" max="3" width="12.109375" bestFit="1" customWidth="1"/>
    <col min="6" max="6" width="10" bestFit="1" customWidth="1"/>
    <col min="9" max="9" width="12.109375" bestFit="1" customWidth="1"/>
  </cols>
  <sheetData>
    <row r="1" spans="1:24" x14ac:dyDescent="0.3">
      <c r="A1" t="s">
        <v>0</v>
      </c>
      <c r="B1" t="s">
        <v>5</v>
      </c>
      <c r="C1" t="s">
        <v>1</v>
      </c>
      <c r="D1" t="s">
        <v>10</v>
      </c>
    </row>
    <row r="2" spans="1:24" x14ac:dyDescent="0.3">
      <c r="A2">
        <v>0</v>
      </c>
      <c r="B2">
        <v>0.55000000000000004</v>
      </c>
      <c r="C2">
        <f>1/(1+EXP(-$F$4*(A2-$F$2))) - 1/(1+EXP(-$F$5*(A2-$F$3)))</f>
        <v>0.40533590880280151</v>
      </c>
      <c r="D2">
        <f>(C2-B2)^2</f>
        <v>2.0927699281911374E-2</v>
      </c>
      <c r="E2" t="s">
        <v>6</v>
      </c>
      <c r="F2">
        <v>4.000810174127631</v>
      </c>
    </row>
    <row r="3" spans="1:24" x14ac:dyDescent="0.3">
      <c r="A3">
        <v>1</v>
      </c>
      <c r="B3">
        <v>0.55000000000000004</v>
      </c>
      <c r="C3">
        <f t="shared" ref="C3:C51" si="0">1/(1+EXP(-$F$4*(A3-$F$2))) - 1/(1+EXP(-$F$5*(A3-$F$3)))</f>
        <v>0.42860708967811711</v>
      </c>
      <c r="D3">
        <f t="shared" ref="D3:D52" si="1">(C3-B3)^2</f>
        <v>1.4736238676416711E-2</v>
      </c>
      <c r="E3" t="s">
        <v>7</v>
      </c>
      <c r="F3">
        <v>55.523349565562341</v>
      </c>
    </row>
    <row r="4" spans="1:24" x14ac:dyDescent="0.3">
      <c r="A4">
        <v>2</v>
      </c>
      <c r="B4">
        <v>0.55000000000000004</v>
      </c>
      <c r="C4">
        <f t="shared" si="0"/>
        <v>0.45219703167349146</v>
      </c>
      <c r="D4">
        <f t="shared" si="1"/>
        <v>9.5654206134760424E-3</v>
      </c>
      <c r="E4" t="s">
        <v>8</v>
      </c>
      <c r="F4">
        <v>9.5768297030015326E-2</v>
      </c>
    </row>
    <row r="5" spans="1:24" x14ac:dyDescent="0.3">
      <c r="A5">
        <v>3</v>
      </c>
      <c r="B5">
        <v>0.55000000000000004</v>
      </c>
      <c r="C5">
        <f t="shared" si="0"/>
        <v>0.47600206379375526</v>
      </c>
      <c r="D5">
        <f t="shared" si="1"/>
        <v>5.4756945627834732E-3</v>
      </c>
      <c r="E5" t="s">
        <v>9</v>
      </c>
      <c r="F5">
        <v>0.18681073414858768</v>
      </c>
      <c r="I5">
        <f>(1+EXP(-$F$5*(A5-$F$3)))</f>
        <v>18251.093682508599</v>
      </c>
    </row>
    <row r="6" spans="1:24" x14ac:dyDescent="0.3">
      <c r="A6">
        <v>4</v>
      </c>
      <c r="B6">
        <v>0.55000000000000004</v>
      </c>
      <c r="C6">
        <f t="shared" si="0"/>
        <v>0.49991455818511549</v>
      </c>
      <c r="D6">
        <f t="shared" si="1"/>
        <v>2.5085514817921864E-3</v>
      </c>
    </row>
    <row r="7" spans="1:24" x14ac:dyDescent="0.3">
      <c r="A7">
        <v>5</v>
      </c>
      <c r="B7">
        <v>0.55000000000000004</v>
      </c>
      <c r="C7">
        <f t="shared" si="0"/>
        <v>0.52382483030507909</v>
      </c>
      <c r="D7">
        <f t="shared" si="1"/>
        <v>6.8513950855790822E-4</v>
      </c>
      <c r="E7" t="s">
        <v>11</v>
      </c>
      <c r="F7">
        <f>SUM(D2:D52)</f>
        <v>0.37090150913832765</v>
      </c>
    </row>
    <row r="8" spans="1:24" x14ac:dyDescent="0.3">
      <c r="A8">
        <v>6</v>
      </c>
      <c r="B8">
        <v>0.55000000000000004</v>
      </c>
      <c r="C8">
        <f t="shared" si="0"/>
        <v>0.54762311316774048</v>
      </c>
      <c r="D8">
        <f t="shared" si="1"/>
        <v>5.6495910133688934E-6</v>
      </c>
    </row>
    <row r="9" spans="1:24" x14ac:dyDescent="0.3">
      <c r="A9">
        <v>7</v>
      </c>
      <c r="B9">
        <v>0.55000000000000004</v>
      </c>
      <c r="C9">
        <f t="shared" si="0"/>
        <v>0.57120152883208131</v>
      </c>
      <c r="D9">
        <f t="shared" si="1"/>
        <v>4.4950482481757306E-4</v>
      </c>
      <c r="E9" t="s">
        <v>12</v>
      </c>
      <c r="V9">
        <v>25</v>
      </c>
      <c r="W9">
        <v>5</v>
      </c>
      <c r="X9">
        <v>36</v>
      </c>
    </row>
    <row r="10" spans="1:24" x14ac:dyDescent="0.3">
      <c r="A10">
        <v>8</v>
      </c>
      <c r="B10">
        <v>0.55000000000000004</v>
      </c>
      <c r="C10">
        <f t="shared" si="0"/>
        <v>0.59445598019944157</v>
      </c>
      <c r="D10">
        <f t="shared" si="1"/>
        <v>1.9763341754931371E-3</v>
      </c>
      <c r="V10">
        <v>49</v>
      </c>
      <c r="W10">
        <v>7</v>
      </c>
      <c r="X10">
        <v>183</v>
      </c>
    </row>
    <row r="11" spans="1:24" x14ac:dyDescent="0.3">
      <c r="A11">
        <v>9</v>
      </c>
      <c r="B11">
        <v>0.55000000000000004</v>
      </c>
      <c r="C11">
        <f t="shared" si="0"/>
        <v>0.61728789105754167</v>
      </c>
      <c r="D11">
        <f t="shared" si="1"/>
        <v>4.5276602829715908E-3</v>
      </c>
      <c r="V11">
        <v>100</v>
      </c>
      <c r="W11">
        <v>10</v>
      </c>
      <c r="X11">
        <v>321</v>
      </c>
    </row>
    <row r="12" spans="1:24" x14ac:dyDescent="0.3">
      <c r="A12">
        <v>10</v>
      </c>
      <c r="B12">
        <v>0.55000000000000004</v>
      </c>
      <c r="C12">
        <f t="shared" si="0"/>
        <v>0.6396057316551742</v>
      </c>
      <c r="D12">
        <f t="shared" si="1"/>
        <v>8.0291871454590807E-3</v>
      </c>
    </row>
    <row r="13" spans="1:24" x14ac:dyDescent="0.3">
      <c r="A13">
        <v>11</v>
      </c>
      <c r="B13">
        <v>0.55000000000000004</v>
      </c>
      <c r="C13">
        <f t="shared" si="0"/>
        <v>0.66132627999062732</v>
      </c>
      <c r="D13">
        <f t="shared" si="1"/>
        <v>1.2393540616551539E-2</v>
      </c>
    </row>
    <row r="14" spans="1:24" x14ac:dyDescent="0.3">
      <c r="A14">
        <v>12</v>
      </c>
      <c r="B14">
        <v>0.55000000000000004</v>
      </c>
      <c r="C14">
        <f t="shared" si="0"/>
        <v>0.68237558422286082</v>
      </c>
      <c r="D14">
        <f t="shared" si="1"/>
        <v>1.7523295298343705E-2</v>
      </c>
    </row>
    <row r="15" spans="1:24" x14ac:dyDescent="0.3">
      <c r="A15">
        <v>13</v>
      </c>
      <c r="B15">
        <v>0.55000000000000004</v>
      </c>
      <c r="C15">
        <f t="shared" si="0"/>
        <v>0.70268960779808487</v>
      </c>
      <c r="D15">
        <f t="shared" si="1"/>
        <v>2.3314116329532966E-2</v>
      </c>
    </row>
    <row r="16" spans="1:24" x14ac:dyDescent="0.3">
      <c r="A16">
        <v>14</v>
      </c>
      <c r="B16">
        <v>0.55000000000000004</v>
      </c>
      <c r="C16">
        <f>1/(1+EXP(-$F$4*(A16-$F$2))) - 1/(1+EXP(-$F$5*(A16-$F$3)))</f>
        <v>0.7222145546768185</v>
      </c>
      <c r="D16">
        <f t="shared" si="1"/>
        <v>2.9657852842534894E-2</v>
      </c>
    </row>
    <row r="17" spans="1:4" x14ac:dyDescent="0.3">
      <c r="A17">
        <v>15</v>
      </c>
      <c r="B17">
        <v>0.55000000000000004</v>
      </c>
      <c r="C17">
        <f t="shared" si="0"/>
        <v>0.74090688626496604</v>
      </c>
      <c r="D17">
        <f t="shared" si="1"/>
        <v>3.6445439223384661E-2</v>
      </c>
    </row>
    <row r="18" spans="1:4" x14ac:dyDescent="0.3">
      <c r="A18">
        <v>16</v>
      </c>
      <c r="B18">
        <v>0.75</v>
      </c>
      <c r="C18">
        <f t="shared" si="0"/>
        <v>0.75873305338761998</v>
      </c>
      <c r="D18">
        <f t="shared" si="1"/>
        <v>7.6266221471020849E-5</v>
      </c>
    </row>
    <row r="19" spans="1:4" x14ac:dyDescent="0.3">
      <c r="A19">
        <v>17</v>
      </c>
      <c r="B19">
        <v>0.75</v>
      </c>
      <c r="C19">
        <f t="shared" si="0"/>
        <v>0.77566897531858015</v>
      </c>
      <c r="D19">
        <f t="shared" si="1"/>
        <v>6.588962939058767E-4</v>
      </c>
    </row>
    <row r="20" spans="1:4" x14ac:dyDescent="0.3">
      <c r="A20">
        <v>18</v>
      </c>
      <c r="B20">
        <v>0.75</v>
      </c>
      <c r="C20">
        <f t="shared" si="0"/>
        <v>0.79169930325486348</v>
      </c>
      <c r="D20">
        <f t="shared" si="1"/>
        <v>1.7388318919410685E-3</v>
      </c>
    </row>
    <row r="21" spans="1:4" x14ac:dyDescent="0.3">
      <c r="A21">
        <v>19</v>
      </c>
      <c r="B21">
        <v>0.75</v>
      </c>
      <c r="C21">
        <f t="shared" si="0"/>
        <v>0.80681650777357339</v>
      </c>
      <c r="D21">
        <f t="shared" si="1"/>
        <v>3.2281155555845252E-3</v>
      </c>
    </row>
    <row r="22" spans="1:4" x14ac:dyDescent="0.3">
      <c r="A22">
        <v>20</v>
      </c>
      <c r="B22">
        <v>0.75</v>
      </c>
      <c r="C22">
        <f t="shared" si="0"/>
        <v>0.82101982904216808</v>
      </c>
      <c r="D22">
        <f t="shared" si="1"/>
        <v>5.043816117178781E-3</v>
      </c>
    </row>
    <row r="23" spans="1:4" x14ac:dyDescent="0.3">
      <c r="A23">
        <v>21</v>
      </c>
      <c r="B23">
        <v>0.95</v>
      </c>
      <c r="C23">
        <f t="shared" si="0"/>
        <v>0.83431412535232652</v>
      </c>
      <c r="D23">
        <f t="shared" si="1"/>
        <v>1.3383221592997211E-2</v>
      </c>
    </row>
    <row r="24" spans="1:4" x14ac:dyDescent="0.3">
      <c r="A24">
        <v>22</v>
      </c>
      <c r="B24">
        <v>0.95</v>
      </c>
      <c r="C24">
        <f t="shared" si="0"/>
        <v>0.84670865047967692</v>
      </c>
      <c r="D24">
        <f t="shared" si="1"/>
        <v>1.0669102885729538E-2</v>
      </c>
    </row>
    <row r="25" spans="1:4" x14ac:dyDescent="0.3">
      <c r="A25">
        <v>23</v>
      </c>
      <c r="B25">
        <v>0.95</v>
      </c>
      <c r="C25">
        <f t="shared" si="0"/>
        <v>0.85821578402269982</v>
      </c>
      <c r="D25">
        <f t="shared" si="1"/>
        <v>8.4243423025676771E-3</v>
      </c>
    </row>
    <row r="26" spans="1:4" x14ac:dyDescent="0.3">
      <c r="A26">
        <v>24</v>
      </c>
      <c r="B26">
        <v>0.95</v>
      </c>
      <c r="C26">
        <f t="shared" si="0"/>
        <v>0.86884973179704195</v>
      </c>
      <c r="D26">
        <f t="shared" si="1"/>
        <v>6.5853660294120176E-3</v>
      </c>
    </row>
    <row r="27" spans="1:4" x14ac:dyDescent="0.3">
      <c r="A27">
        <v>25</v>
      </c>
      <c r="B27">
        <v>0.95</v>
      </c>
      <c r="C27">
        <f t="shared" si="0"/>
        <v>0.87862520604436056</v>
      </c>
      <c r="D27">
        <f t="shared" si="1"/>
        <v>5.0943612122099774E-3</v>
      </c>
    </row>
    <row r="28" spans="1:4" x14ac:dyDescent="0.3">
      <c r="A28">
        <v>26</v>
      </c>
      <c r="B28">
        <v>1</v>
      </c>
      <c r="C28">
        <f t="shared" si="0"/>
        <v>0.88755608806985875</v>
      </c>
      <c r="D28">
        <f t="shared" si="1"/>
        <v>1.2643633330153361E-2</v>
      </c>
    </row>
    <row r="29" spans="1:4" x14ac:dyDescent="0.3">
      <c r="A29">
        <v>27</v>
      </c>
      <c r="B29">
        <v>1</v>
      </c>
      <c r="C29">
        <f t="shared" si="0"/>
        <v>0.89565406929398261</v>
      </c>
      <c r="D29">
        <f t="shared" si="1"/>
        <v>1.0888073254904982E-2</v>
      </c>
    </row>
    <row r="30" spans="1:4" x14ac:dyDescent="0.3">
      <c r="A30">
        <v>28</v>
      </c>
      <c r="B30">
        <v>1</v>
      </c>
      <c r="C30">
        <f t="shared" si="0"/>
        <v>0.9029272608918526</v>
      </c>
      <c r="D30">
        <f t="shared" si="1"/>
        <v>9.4231166779584503E-3</v>
      </c>
    </row>
    <row r="31" spans="1:4" x14ac:dyDescent="0.3">
      <c r="A31">
        <v>29</v>
      </c>
      <c r="B31">
        <v>1</v>
      </c>
      <c r="C31">
        <f t="shared" si="0"/>
        <v>0.90937875749442343</v>
      </c>
      <c r="D31">
        <f t="shared" si="1"/>
        <v>8.2122095932545183E-3</v>
      </c>
    </row>
    <row r="32" spans="1:4" x14ac:dyDescent="0.3">
      <c r="A32">
        <v>30</v>
      </c>
      <c r="B32">
        <v>1</v>
      </c>
      <c r="C32">
        <f t="shared" si="0"/>
        <v>0.9150051371801019</v>
      </c>
      <c r="D32">
        <f t="shared" si="1"/>
        <v>7.2241267057732957E-3</v>
      </c>
    </row>
    <row r="33" spans="1:4" x14ac:dyDescent="0.3">
      <c r="A33">
        <v>31</v>
      </c>
      <c r="B33">
        <v>1</v>
      </c>
      <c r="C33">
        <f t="shared" si="0"/>
        <v>0.91979487864617937</v>
      </c>
      <c r="D33">
        <f t="shared" si="1"/>
        <v>6.4328614913810936E-3</v>
      </c>
    </row>
    <row r="34" spans="1:4" x14ac:dyDescent="0.3">
      <c r="A34">
        <v>32</v>
      </c>
      <c r="B34">
        <v>1</v>
      </c>
      <c r="C34">
        <f t="shared" si="0"/>
        <v>0.9237266776516011</v>
      </c>
      <c r="D34">
        <f t="shared" si="1"/>
        <v>5.8176197020627669E-3</v>
      </c>
    </row>
    <row r="35" spans="1:4" x14ac:dyDescent="0.3">
      <c r="A35">
        <v>33</v>
      </c>
      <c r="B35">
        <v>0.97499999999999998</v>
      </c>
      <c r="C35">
        <f t="shared" si="0"/>
        <v>0.92676764947034451</v>
      </c>
      <c r="D35">
        <f t="shared" si="1"/>
        <v>2.3263596376155559E-3</v>
      </c>
    </row>
    <row r="36" spans="1:4" x14ac:dyDescent="0.3">
      <c r="A36">
        <v>34</v>
      </c>
      <c r="B36">
        <v>0.97499999999999998</v>
      </c>
      <c r="C36">
        <f t="shared" si="0"/>
        <v>0.92887141345024782</v>
      </c>
      <c r="D36">
        <f t="shared" si="1"/>
        <v>2.1278464970779756E-3</v>
      </c>
    </row>
    <row r="37" spans="1:4" x14ac:dyDescent="0.3">
      <c r="A37">
        <v>35</v>
      </c>
      <c r="B37">
        <v>0.97499999999999998</v>
      </c>
      <c r="C37">
        <f t="shared" si="0"/>
        <v>0.9299760715400841</v>
      </c>
      <c r="D37">
        <f t="shared" si="1"/>
        <v>2.0271541339636225E-3</v>
      </c>
    </row>
    <row r="38" spans="1:4" x14ac:dyDescent="0.3">
      <c r="A38">
        <v>36</v>
      </c>
      <c r="B38">
        <v>0.97499999999999998</v>
      </c>
      <c r="C38">
        <f t="shared" si="0"/>
        <v>0.93000211702996716</v>
      </c>
      <c r="D38">
        <f t="shared" si="1"/>
        <v>2.0248094717847699E-3</v>
      </c>
    </row>
    <row r="39" spans="1:4" x14ac:dyDescent="0.3">
      <c r="A39">
        <v>37</v>
      </c>
      <c r="B39">
        <v>0.97499999999999998</v>
      </c>
      <c r="C39">
        <f t="shared" si="0"/>
        <v>0.9288503454280016</v>
      </c>
      <c r="D39">
        <f t="shared" si="1"/>
        <v>2.1297906171147706E-3</v>
      </c>
    </row>
    <row r="40" spans="1:4" x14ac:dyDescent="0.3">
      <c r="A40">
        <v>38</v>
      </c>
      <c r="B40">
        <v>0.97499999999999998</v>
      </c>
      <c r="C40">
        <f t="shared" si="0"/>
        <v>0.92639988936336093</v>
      </c>
      <c r="D40">
        <f t="shared" si="1"/>
        <v>2.3619707538935562E-3</v>
      </c>
    </row>
    <row r="41" spans="1:4" x14ac:dyDescent="0.3">
      <c r="A41">
        <v>39</v>
      </c>
      <c r="B41">
        <v>0.97499999999999998</v>
      </c>
      <c r="C41">
        <f t="shared" si="0"/>
        <v>0.92250656653583085</v>
      </c>
      <c r="D41">
        <f t="shared" si="1"/>
        <v>2.7555605568571509E-3</v>
      </c>
    </row>
    <row r="42" spans="1:4" x14ac:dyDescent="0.3">
      <c r="A42">
        <v>40</v>
      </c>
      <c r="B42">
        <v>0.97499999999999998</v>
      </c>
      <c r="C42">
        <f t="shared" si="0"/>
        <v>0.91700181590794327</v>
      </c>
      <c r="D42">
        <f t="shared" si="1"/>
        <v>3.3637893579760991E-3</v>
      </c>
    </row>
    <row r="43" spans="1:4" x14ac:dyDescent="0.3">
      <c r="A43">
        <v>41</v>
      </c>
      <c r="B43">
        <v>0.8</v>
      </c>
      <c r="C43">
        <f t="shared" si="0"/>
        <v>0.90969260193820223</v>
      </c>
      <c r="D43">
        <f t="shared" si="1"/>
        <v>1.2032466919972878E-2</v>
      </c>
    </row>
    <row r="44" spans="1:4" x14ac:dyDescent="0.3">
      <c r="A44">
        <v>42</v>
      </c>
      <c r="B44">
        <v>0.8</v>
      </c>
      <c r="C44">
        <f t="shared" si="0"/>
        <v>0.90036278419537186</v>
      </c>
      <c r="D44">
        <f t="shared" si="1"/>
        <v>1.0072688451446774E-2</v>
      </c>
    </row>
    <row r="45" spans="1:4" x14ac:dyDescent="0.3">
      <c r="A45">
        <v>43</v>
      </c>
      <c r="B45">
        <v>0.8</v>
      </c>
      <c r="C45">
        <f t="shared" si="0"/>
        <v>0.88877656652908454</v>
      </c>
      <c r="D45">
        <f t="shared" si="1"/>
        <v>7.8812787646929654E-3</v>
      </c>
    </row>
    <row r="46" spans="1:4" x14ac:dyDescent="0.3">
      <c r="A46">
        <v>44</v>
      </c>
      <c r="B46">
        <v>0.8</v>
      </c>
      <c r="C46">
        <f t="shared" si="0"/>
        <v>0.8746847303627554</v>
      </c>
      <c r="D46">
        <f t="shared" si="1"/>
        <v>5.577808949357472E-3</v>
      </c>
    </row>
    <row r="47" spans="1:4" x14ac:dyDescent="0.3">
      <c r="A47">
        <v>45</v>
      </c>
      <c r="B47">
        <v>0.8</v>
      </c>
      <c r="C47">
        <f t="shared" si="0"/>
        <v>0.85783437922695471</v>
      </c>
      <c r="D47">
        <f t="shared" si="1"/>
        <v>3.3448154205672057E-3</v>
      </c>
    </row>
    <row r="48" spans="1:4" x14ac:dyDescent="0.3">
      <c r="A48">
        <v>46</v>
      </c>
      <c r="B48">
        <v>0.8</v>
      </c>
      <c r="C48">
        <f t="shared" si="0"/>
        <v>0.83798281832101962</v>
      </c>
      <c r="D48">
        <f t="shared" si="1"/>
        <v>1.4426944876075802E-3</v>
      </c>
    </row>
    <row r="49" spans="1:4" x14ac:dyDescent="0.3">
      <c r="A49">
        <v>47</v>
      </c>
      <c r="B49">
        <v>0.8</v>
      </c>
      <c r="C49">
        <f t="shared" si="0"/>
        <v>0.81491589420719568</v>
      </c>
      <c r="D49">
        <f t="shared" si="1"/>
        <v>2.2248390000025229E-4</v>
      </c>
    </row>
    <row r="50" spans="1:4" x14ac:dyDescent="0.3">
      <c r="A50">
        <v>48</v>
      </c>
      <c r="B50">
        <v>0.8</v>
      </c>
      <c r="C50">
        <f t="shared" si="0"/>
        <v>0.78847056089575651</v>
      </c>
      <c r="D50">
        <f t="shared" si="1"/>
        <v>1.3292796605845992E-4</v>
      </c>
    </row>
    <row r="51" spans="1:4" x14ac:dyDescent="0.3">
      <c r="A51">
        <v>49</v>
      </c>
      <c r="B51">
        <v>0.8</v>
      </c>
      <c r="C51">
        <f t="shared" si="0"/>
        <v>0.75856059002114551</v>
      </c>
      <c r="D51">
        <f t="shared" si="1"/>
        <v>1.7172246993955888E-3</v>
      </c>
    </row>
    <row r="52" spans="1:4" x14ac:dyDescent="0.3">
      <c r="A52">
        <v>50</v>
      </c>
      <c r="B52">
        <v>0.8</v>
      </c>
      <c r="C52">
        <f>1/(1+EXP(-$F$4*(A52-$F$2))) - 1/(1+EXP(-$F$5*(A52-$F$3)))</f>
        <v>0.72520325381797346</v>
      </c>
      <c r="D52">
        <f t="shared" si="1"/>
        <v>5.5945532394185088E-3</v>
      </c>
    </row>
    <row r="53" spans="1:4" x14ac:dyDescent="0.3">
      <c r="A53">
        <v>50</v>
      </c>
      <c r="B53">
        <v>0.8</v>
      </c>
      <c r="C53">
        <f>1/(1+EXP(-$F$4*(A53-$F$2))) - 1/(1+EXP(-$F$5*(A53-$F$3)))</f>
        <v>0.72520325381797346</v>
      </c>
      <c r="D53">
        <f t="shared" ref="D53:D90" si="2">(C53-B53)^2</f>
        <v>5.5945532394185088E-3</v>
      </c>
    </row>
    <row r="54" spans="1:4" x14ac:dyDescent="0.3">
      <c r="A54">
        <v>50</v>
      </c>
      <c r="B54">
        <v>0.8</v>
      </c>
      <c r="C54">
        <f t="shared" ref="C54:C90" si="3">1/(1+EXP(-$F$4*(A54-$F$2))) - 1/(1+EXP(-$F$5*(A54-$F$3)))</f>
        <v>0.72520325381797346</v>
      </c>
      <c r="D54">
        <f t="shared" si="2"/>
        <v>5.5945532394185088E-3</v>
      </c>
    </row>
    <row r="55" spans="1:4" x14ac:dyDescent="0.3">
      <c r="A55">
        <v>50</v>
      </c>
      <c r="B55">
        <v>0.8</v>
      </c>
      <c r="C55">
        <f>1/(1+EXP(-$F$4*(A55-$F$2))) - 1/(1+EXP(-$F$5*(A55-$F$3)))</f>
        <v>0.72520325381797346</v>
      </c>
      <c r="D55">
        <f t="shared" si="2"/>
        <v>5.5945532394185088E-3</v>
      </c>
    </row>
    <row r="56" spans="1:4" x14ac:dyDescent="0.3">
      <c r="A56">
        <v>50</v>
      </c>
      <c r="B56">
        <v>0.8</v>
      </c>
      <c r="C56">
        <f t="shared" si="3"/>
        <v>0.72520325381797346</v>
      </c>
      <c r="D56">
        <f t="shared" si="2"/>
        <v>5.5945532394185088E-3</v>
      </c>
    </row>
    <row r="57" spans="1:4" x14ac:dyDescent="0.3">
      <c r="A57">
        <v>50</v>
      </c>
      <c r="B57">
        <v>0.8</v>
      </c>
      <c r="C57">
        <f t="shared" si="3"/>
        <v>0.72520325381797346</v>
      </c>
      <c r="D57">
        <f t="shared" si="2"/>
        <v>5.5945532394185088E-3</v>
      </c>
    </row>
    <row r="58" spans="1:4" x14ac:dyDescent="0.3">
      <c r="A58">
        <v>50</v>
      </c>
      <c r="B58">
        <v>0.8</v>
      </c>
      <c r="C58">
        <f t="shared" si="3"/>
        <v>0.72520325381797346</v>
      </c>
      <c r="D58">
        <f t="shared" si="2"/>
        <v>5.5945532394185088E-3</v>
      </c>
    </row>
    <row r="59" spans="1:4" x14ac:dyDescent="0.3">
      <c r="A59">
        <v>50</v>
      </c>
      <c r="B59">
        <v>0.8</v>
      </c>
      <c r="C59">
        <f t="shared" si="3"/>
        <v>0.72520325381797346</v>
      </c>
      <c r="D59">
        <f t="shared" si="2"/>
        <v>5.5945532394185088E-3</v>
      </c>
    </row>
    <row r="60" spans="1:4" x14ac:dyDescent="0.3">
      <c r="A60">
        <v>50</v>
      </c>
      <c r="B60">
        <v>0.8</v>
      </c>
      <c r="C60">
        <f t="shared" si="3"/>
        <v>0.72520325381797346</v>
      </c>
      <c r="D60">
        <f t="shared" si="2"/>
        <v>5.5945532394185088E-3</v>
      </c>
    </row>
    <row r="61" spans="1:4" x14ac:dyDescent="0.3">
      <c r="A61">
        <v>50</v>
      </c>
      <c r="B61">
        <v>0.8</v>
      </c>
      <c r="C61">
        <f t="shared" si="3"/>
        <v>0.72520325381797346</v>
      </c>
      <c r="D61">
        <f t="shared" si="2"/>
        <v>5.5945532394185088E-3</v>
      </c>
    </row>
    <row r="62" spans="1:4" x14ac:dyDescent="0.3">
      <c r="A62">
        <v>50</v>
      </c>
      <c r="B62">
        <v>0.8</v>
      </c>
      <c r="C62">
        <f t="shared" si="3"/>
        <v>0.72520325381797346</v>
      </c>
      <c r="D62">
        <f t="shared" si="2"/>
        <v>5.5945532394185088E-3</v>
      </c>
    </row>
    <row r="63" spans="1:4" x14ac:dyDescent="0.3">
      <c r="A63">
        <v>50</v>
      </c>
      <c r="B63">
        <v>0.8</v>
      </c>
      <c r="C63">
        <f t="shared" si="3"/>
        <v>0.72520325381797346</v>
      </c>
      <c r="D63">
        <f t="shared" si="2"/>
        <v>5.5945532394185088E-3</v>
      </c>
    </row>
    <row r="64" spans="1:4" x14ac:dyDescent="0.3">
      <c r="A64">
        <v>50</v>
      </c>
      <c r="B64">
        <v>0.8</v>
      </c>
      <c r="C64">
        <f t="shared" si="3"/>
        <v>0.72520325381797346</v>
      </c>
      <c r="D64">
        <f t="shared" si="2"/>
        <v>5.5945532394185088E-3</v>
      </c>
    </row>
    <row r="65" spans="1:4" x14ac:dyDescent="0.3">
      <c r="A65">
        <v>50</v>
      </c>
      <c r="B65">
        <v>0.8</v>
      </c>
      <c r="C65">
        <f t="shared" si="3"/>
        <v>0.72520325381797346</v>
      </c>
      <c r="D65">
        <f t="shared" si="2"/>
        <v>5.5945532394185088E-3</v>
      </c>
    </row>
    <row r="66" spans="1:4" x14ac:dyDescent="0.3">
      <c r="A66">
        <v>50</v>
      </c>
      <c r="B66">
        <v>0.8</v>
      </c>
      <c r="C66">
        <f t="shared" si="3"/>
        <v>0.72520325381797346</v>
      </c>
      <c r="D66">
        <f t="shared" si="2"/>
        <v>5.5945532394185088E-3</v>
      </c>
    </row>
    <row r="67" spans="1:4" x14ac:dyDescent="0.3">
      <c r="A67">
        <v>50</v>
      </c>
      <c r="B67">
        <v>0.8</v>
      </c>
      <c r="C67">
        <f t="shared" si="3"/>
        <v>0.72520325381797346</v>
      </c>
      <c r="D67">
        <f t="shared" si="2"/>
        <v>5.5945532394185088E-3</v>
      </c>
    </row>
    <row r="68" spans="1:4" x14ac:dyDescent="0.3">
      <c r="A68">
        <v>50</v>
      </c>
      <c r="B68">
        <v>0.8</v>
      </c>
      <c r="C68">
        <f t="shared" si="3"/>
        <v>0.72520325381797346</v>
      </c>
      <c r="D68">
        <f t="shared" si="2"/>
        <v>5.5945532394185088E-3</v>
      </c>
    </row>
    <row r="69" spans="1:4" x14ac:dyDescent="0.3">
      <c r="A69">
        <v>50</v>
      </c>
      <c r="B69">
        <v>0.8</v>
      </c>
      <c r="C69">
        <f t="shared" si="3"/>
        <v>0.72520325381797346</v>
      </c>
      <c r="D69">
        <f t="shared" si="2"/>
        <v>5.5945532394185088E-3</v>
      </c>
    </row>
    <row r="70" spans="1:4" x14ac:dyDescent="0.3">
      <c r="A70">
        <v>50</v>
      </c>
      <c r="B70">
        <v>0.8</v>
      </c>
      <c r="C70">
        <f t="shared" si="3"/>
        <v>0.72520325381797346</v>
      </c>
      <c r="D70">
        <f t="shared" si="2"/>
        <v>5.5945532394185088E-3</v>
      </c>
    </row>
    <row r="71" spans="1:4" x14ac:dyDescent="0.3">
      <c r="A71">
        <v>50</v>
      </c>
      <c r="B71">
        <v>0.8</v>
      </c>
      <c r="C71">
        <f t="shared" si="3"/>
        <v>0.72520325381797346</v>
      </c>
      <c r="D71">
        <f t="shared" si="2"/>
        <v>5.5945532394185088E-3</v>
      </c>
    </row>
    <row r="72" spans="1:4" x14ac:dyDescent="0.3">
      <c r="A72">
        <v>50</v>
      </c>
      <c r="B72">
        <v>0.8</v>
      </c>
      <c r="C72">
        <f t="shared" si="3"/>
        <v>0.72520325381797346</v>
      </c>
      <c r="D72">
        <f t="shared" si="2"/>
        <v>5.5945532394185088E-3</v>
      </c>
    </row>
    <row r="73" spans="1:4" x14ac:dyDescent="0.3">
      <c r="A73">
        <v>50</v>
      </c>
      <c r="B73">
        <v>0.8</v>
      </c>
      <c r="C73">
        <f t="shared" si="3"/>
        <v>0.72520325381797346</v>
      </c>
      <c r="D73">
        <f t="shared" si="2"/>
        <v>5.5945532394185088E-3</v>
      </c>
    </row>
    <row r="74" spans="1:4" x14ac:dyDescent="0.3">
      <c r="A74">
        <v>50</v>
      </c>
      <c r="B74">
        <v>0.8</v>
      </c>
      <c r="C74">
        <f t="shared" si="3"/>
        <v>0.72520325381797346</v>
      </c>
      <c r="D74">
        <f t="shared" si="2"/>
        <v>5.5945532394185088E-3</v>
      </c>
    </row>
    <row r="75" spans="1:4" x14ac:dyDescent="0.3">
      <c r="A75">
        <v>50</v>
      </c>
      <c r="B75">
        <v>0.8</v>
      </c>
      <c r="C75">
        <f t="shared" si="3"/>
        <v>0.72520325381797346</v>
      </c>
      <c r="D75">
        <f t="shared" si="2"/>
        <v>5.5945532394185088E-3</v>
      </c>
    </row>
    <row r="76" spans="1:4" x14ac:dyDescent="0.3">
      <c r="A76">
        <v>50</v>
      </c>
      <c r="B76">
        <v>0.8</v>
      </c>
      <c r="C76">
        <f t="shared" si="3"/>
        <v>0.72520325381797346</v>
      </c>
      <c r="D76">
        <f t="shared" si="2"/>
        <v>5.5945532394185088E-3</v>
      </c>
    </row>
    <row r="77" spans="1:4" x14ac:dyDescent="0.3">
      <c r="A77">
        <v>50</v>
      </c>
      <c r="B77">
        <v>0.8</v>
      </c>
      <c r="C77">
        <f t="shared" si="3"/>
        <v>0.72520325381797346</v>
      </c>
      <c r="D77">
        <f t="shared" si="2"/>
        <v>5.5945532394185088E-3</v>
      </c>
    </row>
    <row r="78" spans="1:4" x14ac:dyDescent="0.3">
      <c r="A78">
        <v>50</v>
      </c>
      <c r="B78">
        <v>0.8</v>
      </c>
      <c r="C78">
        <f t="shared" si="3"/>
        <v>0.72520325381797346</v>
      </c>
      <c r="D78">
        <f t="shared" si="2"/>
        <v>5.5945532394185088E-3</v>
      </c>
    </row>
    <row r="79" spans="1:4" x14ac:dyDescent="0.3">
      <c r="A79">
        <v>50</v>
      </c>
      <c r="B79">
        <v>0.8</v>
      </c>
      <c r="C79">
        <f t="shared" si="3"/>
        <v>0.72520325381797346</v>
      </c>
      <c r="D79">
        <f t="shared" si="2"/>
        <v>5.5945532394185088E-3</v>
      </c>
    </row>
    <row r="80" spans="1:4" x14ac:dyDescent="0.3">
      <c r="A80">
        <v>50</v>
      </c>
      <c r="B80">
        <v>0.8</v>
      </c>
      <c r="C80">
        <f t="shared" si="3"/>
        <v>0.72520325381797346</v>
      </c>
      <c r="D80">
        <f t="shared" si="2"/>
        <v>5.5945532394185088E-3</v>
      </c>
    </row>
    <row r="81" spans="1:4" x14ac:dyDescent="0.3">
      <c r="A81">
        <v>50</v>
      </c>
      <c r="B81">
        <v>0.8</v>
      </c>
      <c r="C81">
        <f t="shared" si="3"/>
        <v>0.72520325381797346</v>
      </c>
      <c r="D81">
        <f t="shared" si="2"/>
        <v>5.5945532394185088E-3</v>
      </c>
    </row>
    <row r="82" spans="1:4" x14ac:dyDescent="0.3">
      <c r="A82">
        <v>50</v>
      </c>
      <c r="B82">
        <v>0.8</v>
      </c>
      <c r="C82">
        <f t="shared" si="3"/>
        <v>0.72520325381797346</v>
      </c>
      <c r="D82">
        <f t="shared" si="2"/>
        <v>5.5945532394185088E-3</v>
      </c>
    </row>
    <row r="83" spans="1:4" x14ac:dyDescent="0.3">
      <c r="A83">
        <v>50</v>
      </c>
      <c r="B83">
        <v>0.8</v>
      </c>
      <c r="C83">
        <f t="shared" si="3"/>
        <v>0.72520325381797346</v>
      </c>
      <c r="D83">
        <f t="shared" si="2"/>
        <v>5.5945532394185088E-3</v>
      </c>
    </row>
    <row r="84" spans="1:4" x14ac:dyDescent="0.3">
      <c r="A84">
        <v>50</v>
      </c>
      <c r="B84">
        <v>0.8</v>
      </c>
      <c r="C84">
        <f t="shared" si="3"/>
        <v>0.72520325381797346</v>
      </c>
      <c r="D84">
        <f t="shared" si="2"/>
        <v>5.5945532394185088E-3</v>
      </c>
    </row>
    <row r="85" spans="1:4" x14ac:dyDescent="0.3">
      <c r="A85">
        <v>50</v>
      </c>
      <c r="B85">
        <v>0.8</v>
      </c>
      <c r="C85">
        <f t="shared" si="3"/>
        <v>0.72520325381797346</v>
      </c>
      <c r="D85">
        <f t="shared" si="2"/>
        <v>5.5945532394185088E-3</v>
      </c>
    </row>
    <row r="86" spans="1:4" x14ac:dyDescent="0.3">
      <c r="A86">
        <v>50</v>
      </c>
      <c r="B86">
        <v>0.8</v>
      </c>
      <c r="C86">
        <f t="shared" si="3"/>
        <v>0.72520325381797346</v>
      </c>
      <c r="D86">
        <f t="shared" si="2"/>
        <v>5.5945532394185088E-3</v>
      </c>
    </row>
    <row r="87" spans="1:4" x14ac:dyDescent="0.3">
      <c r="A87">
        <v>50</v>
      </c>
      <c r="B87">
        <v>0.8</v>
      </c>
      <c r="C87">
        <f t="shared" si="3"/>
        <v>0.72520325381797346</v>
      </c>
      <c r="D87">
        <f t="shared" si="2"/>
        <v>5.5945532394185088E-3</v>
      </c>
    </row>
    <row r="88" spans="1:4" x14ac:dyDescent="0.3">
      <c r="A88">
        <v>50</v>
      </c>
      <c r="B88">
        <v>0.8</v>
      </c>
      <c r="C88">
        <f t="shared" si="3"/>
        <v>0.72520325381797346</v>
      </c>
      <c r="D88">
        <f t="shared" si="2"/>
        <v>5.5945532394185088E-3</v>
      </c>
    </row>
    <row r="89" spans="1:4" x14ac:dyDescent="0.3">
      <c r="A89">
        <v>50</v>
      </c>
      <c r="B89">
        <v>0.8</v>
      </c>
      <c r="C89">
        <f t="shared" si="3"/>
        <v>0.72520325381797346</v>
      </c>
      <c r="D89">
        <f t="shared" si="2"/>
        <v>5.5945532394185088E-3</v>
      </c>
    </row>
    <row r="90" spans="1:4" x14ac:dyDescent="0.3">
      <c r="A90">
        <v>50</v>
      </c>
      <c r="B90">
        <v>0.8</v>
      </c>
      <c r="C90">
        <f t="shared" si="3"/>
        <v>0.72520325381797346</v>
      </c>
      <c r="D90">
        <f t="shared" si="2"/>
        <v>5.5945532394185088E-3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carbon table</vt:lpstr>
      <vt:lpstr>price_over_time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Sharples</dc:creator>
  <cp:lastModifiedBy>Alex Sharples</cp:lastModifiedBy>
  <dcterms:created xsi:type="dcterms:W3CDTF">2015-06-05T18:17:20Z</dcterms:created>
  <dcterms:modified xsi:type="dcterms:W3CDTF">2026-01-27T00:09:20Z</dcterms:modified>
</cp:coreProperties>
</file>